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FoobAB\Documents\GitHub\CNTT_TH02862\SOF3032\Slide\Template\"/>
    </mc:Choice>
  </mc:AlternateContent>
  <xr:revisionPtr revIDLastSave="0" documentId="13_ncr:1_{5F7DA654-85D2-4AE5-A285-7F990662CFF8}" xr6:coauthVersionLast="47" xr6:coauthVersionMax="47" xr10:uidLastSave="{00000000-0000-0000-0000-000000000000}"/>
  <bookViews>
    <workbookView xWindow="-108" yWindow="-108" windowWidth="23256" windowHeight="13176" tabRatio="821" firstSheet="4" activeTab="11" xr2:uid="{00000000-000D-0000-FFFF-FFFF00000000}"/>
  </bookViews>
  <sheets>
    <sheet name="Cover" sheetId="97" r:id="rId1"/>
    <sheet name="1. Đăng ký" sheetId="124" r:id="rId2"/>
    <sheet name="2. Đăng nhập" sheetId="125" r:id="rId3"/>
    <sheet name="3. Chỉnh sửa tài khoản" sheetId="126" r:id="rId4"/>
    <sheet name="4. Thêm sản phầm vào giỏ hàng" sheetId="127" r:id="rId5"/>
    <sheet name="5. Đặt hàng" sheetId="129" r:id="rId6"/>
    <sheet name="6. Thanh toán" sheetId="128" r:id="rId7"/>
    <sheet name="7. Hủy đơn hàng" sheetId="130" r:id="rId8"/>
    <sheet name="8. Đăng xuất" sheetId="131" r:id="rId9"/>
    <sheet name="9. Gửi hóa đơn mail" sheetId="132" r:id="rId10"/>
    <sheet name="Export all carrier choices" sheetId="122" r:id="rId11"/>
    <sheet name="Test Report" sheetId="107" r:id="rId12"/>
  </sheets>
  <externalReferences>
    <externalReference r:id="rId13"/>
  </externalReferences>
  <definedNames>
    <definedName name="Access">[1]Validation!$E$2:$E$223</definedName>
    <definedName name="AccessCircuit">[1]Validation!$C$2:$C$29</definedName>
    <definedName name="ACTION">#REF!</definedName>
    <definedName name="CoS">[1]Validation!$G$2:$G$47</definedName>
    <definedName name="Countries">[1]Validation!$A$2:$A$301</definedName>
    <definedName name="DSLCheckService">[1]Validation!$H$2:$H$4</definedName>
    <definedName name="Port">[1]Validation!$F$2:$F$40</definedName>
    <definedName name="VancoProducts">[1]Validation!$B$2:$B$4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132" l="1"/>
  <c r="D7" i="126"/>
  <c r="F18" i="107"/>
  <c r="E18" i="107"/>
  <c r="D18" i="107"/>
  <c r="G16" i="107"/>
  <c r="F16" i="107"/>
  <c r="E16" i="107"/>
  <c r="D16" i="107"/>
  <c r="C16" i="107"/>
  <c r="C15" i="107"/>
  <c r="G15" i="107"/>
  <c r="F15" i="107"/>
  <c r="E15" i="107"/>
  <c r="D15" i="107"/>
  <c r="C14" i="107"/>
  <c r="G14" i="107"/>
  <c r="F14" i="107"/>
  <c r="E14" i="107"/>
  <c r="D14" i="107"/>
  <c r="C13" i="107"/>
  <c r="G13" i="107"/>
  <c r="F13" i="107"/>
  <c r="E13" i="107"/>
  <c r="D13" i="107"/>
  <c r="G12" i="107"/>
  <c r="C12" i="107"/>
  <c r="C11" i="107"/>
  <c r="F12" i="107"/>
  <c r="E12" i="107"/>
  <c r="D12" i="107"/>
  <c r="G11" i="107"/>
  <c r="F11" i="107"/>
  <c r="E11" i="107"/>
  <c r="D11" i="107"/>
  <c r="G10" i="107"/>
  <c r="F10" i="107"/>
  <c r="E10" i="107"/>
  <c r="D10" i="107"/>
  <c r="G9" i="107"/>
  <c r="F9" i="107"/>
  <c r="E9" i="107"/>
  <c r="D9" i="107"/>
  <c r="G8" i="107"/>
  <c r="F8" i="107"/>
  <c r="E8" i="107"/>
  <c r="D8" i="107"/>
  <c r="C10" i="107"/>
  <c r="C9" i="107"/>
  <c r="C8" i="107"/>
  <c r="B6" i="132"/>
  <c r="G18" i="107" l="1"/>
  <c r="E20" i="107" s="1"/>
  <c r="B7" i="132" l="1"/>
  <c r="D6" i="132"/>
  <c r="D7" i="131"/>
  <c r="B7" i="131"/>
  <c r="D6" i="131"/>
  <c r="B6" i="131"/>
  <c r="B7" i="130"/>
  <c r="B6" i="130"/>
  <c r="B7" i="129"/>
  <c r="B6" i="129"/>
  <c r="D7" i="129"/>
  <c r="D7" i="130"/>
  <c r="D6" i="130"/>
  <c r="D6" i="129"/>
  <c r="D7" i="128"/>
  <c r="B7" i="128"/>
  <c r="D6" i="128"/>
  <c r="B6" i="128"/>
  <c r="D7" i="127"/>
  <c r="B7" i="127"/>
  <c r="D6" i="127"/>
  <c r="B6" i="127"/>
  <c r="B7" i="126"/>
  <c r="D6" i="126"/>
  <c r="B6" i="126"/>
  <c r="D7" i="125"/>
  <c r="D7" i="124"/>
  <c r="B7" i="125"/>
  <c r="D6" i="125"/>
  <c r="B6" i="125"/>
  <c r="B7" i="124"/>
  <c r="D6" i="124"/>
  <c r="B6" i="124"/>
  <c r="D7" i="122"/>
  <c r="B6" i="122"/>
  <c r="B7" i="122"/>
  <c r="D6" i="122"/>
  <c r="E21" i="107" l="1"/>
</calcChain>
</file>

<file path=xl/sharedStrings.xml><?xml version="1.0" encoding="utf-8"?>
<sst xmlns="http://schemas.openxmlformats.org/spreadsheetml/2006/main" count="634" uniqueCount="348">
  <si>
    <t>TC16</t>
  </si>
  <si>
    <t>You can see details for part of in Sheet Provider supports</t>
  </si>
  <si>
    <t>See the part of requested</t>
  </si>
  <si>
    <t>Check value the part of Requested</t>
  </si>
  <si>
    <t>Check value the part of Provided</t>
  </si>
  <si>
    <t>See the part of Provided</t>
  </si>
  <si>
    <t>All values the same as Edit site details popup displays (User requests)</t>
  </si>
  <si>
    <t>TC17</t>
  </si>
  <si>
    <t>TC18</t>
  </si>
  <si>
    <r>
      <t xml:space="preserve">1: Will be the same content as CanSeeFullCostAndPriceBreakdown Role = False at the Current system
2: The export will not just contain one row for each circuit, but will contain one row for each carrier that can provide those circuits. </t>
    </r>
    <r>
      <rPr>
        <b/>
        <sz val="10"/>
        <color indexed="8"/>
        <rFont val="Tahoma"/>
        <family val="2"/>
      </rPr>
      <t>The entire row details will be duplicated except the carrier name, price and carrier COS</t>
    </r>
    <r>
      <rPr>
        <sz val="10"/>
        <color indexed="8"/>
        <rFont val="Tahoma"/>
        <family val="2"/>
      </rPr>
      <t xml:space="preserve">
3: A carrier will only be shown once for each circuit with its its aggregate IRD
4: Instead of only showing the total NRC and MRC, we will break out the price elements and show total NRC and MRC CLIENT PRICE for Access, Port, 6 CoS all separately, then Total – so 18 columns for figures in total
5: After the access, port, 6 CoS “requirement speeds”, should have 8 columns of speeds that have been priced 
6: For Expert, this will contain the VSIP tables (selected VSIPs, selected VSIP capacities) which many be a table with no entries in it </t>
    </r>
    <r>
      <rPr>
        <b/>
        <sz val="10"/>
        <color indexed="8"/>
        <rFont val="Tahoma"/>
        <family val="2"/>
      </rPr>
      <t>(All infomation in it are Blank)</t>
    </r>
    <r>
      <rPr>
        <sz val="10"/>
        <color indexed="8"/>
        <rFont val="Tahoma"/>
        <family val="2"/>
      </rPr>
      <t xml:space="preserve">
</t>
    </r>
    <r>
      <rPr>
        <b/>
        <sz val="10"/>
        <color indexed="8"/>
        <rFont val="Tahoma"/>
        <family val="2"/>
      </rPr>
      <t>See sheet Template B</t>
    </r>
  </si>
  <si>
    <r>
      <t>- If provider supports as user to input then value the part of Provided same as alongside part of requested
- If provider</t>
    </r>
    <r>
      <rPr>
        <b/>
        <sz val="10"/>
        <color indexed="8"/>
        <rFont val="Tahoma"/>
        <family val="2"/>
      </rPr>
      <t xml:space="preserve"> doesn't </t>
    </r>
    <r>
      <rPr>
        <sz val="10"/>
        <color indexed="8"/>
        <rFont val="Tahoma"/>
        <family val="2"/>
      </rPr>
      <t xml:space="preserve">support as user to input that it is </t>
    </r>
    <r>
      <rPr>
        <b/>
        <sz val="10"/>
        <color indexed="8"/>
        <rFont val="Tahoma"/>
        <family val="2"/>
      </rPr>
      <t>upgrade</t>
    </r>
    <r>
      <rPr>
        <sz val="10"/>
        <color indexed="8"/>
        <rFont val="Tahoma"/>
        <family val="2"/>
      </rPr>
      <t xml:space="preserve"> to other values, part of Provided will be displayed value to be </t>
    </r>
    <r>
      <rPr>
        <b/>
        <sz val="10"/>
        <color indexed="8"/>
        <rFont val="Tahoma"/>
        <family val="2"/>
      </rPr>
      <t>upgrade</t>
    </r>
  </si>
  <si>
    <r>
      <t>Don't see</t>
    </r>
    <r>
      <rPr>
        <sz val="10"/>
        <color indexed="8"/>
        <rFont val="Tahoma"/>
        <family val="2"/>
      </rPr>
      <t xml:space="preserve"> a new selector: "</t>
    </r>
    <r>
      <rPr>
        <b/>
        <sz val="10"/>
        <color indexed="8"/>
        <rFont val="Tahoma"/>
        <family val="2"/>
      </rPr>
      <t>Export all Carriers"</t>
    </r>
  </si>
  <si>
    <r>
      <t>See</t>
    </r>
    <r>
      <rPr>
        <sz val="10"/>
        <color indexed="8"/>
        <rFont val="Tahoma"/>
        <family val="2"/>
      </rPr>
      <t xml:space="preserve"> a new selector: "</t>
    </r>
    <r>
      <rPr>
        <b/>
        <sz val="10"/>
        <color indexed="8"/>
        <rFont val="Tahoma"/>
        <family val="2"/>
      </rPr>
      <t>Export all Carriers"</t>
    </r>
  </si>
  <si>
    <t>TC1</t>
  </si>
  <si>
    <t>TC2</t>
  </si>
  <si>
    <t>TC3</t>
  </si>
  <si>
    <t>TC4</t>
  </si>
  <si>
    <t>TC5</t>
  </si>
  <si>
    <t>TC6</t>
  </si>
  <si>
    <t>TC7</t>
  </si>
  <si>
    <t>Fail</t>
  </si>
  <si>
    <t>Date</t>
    <phoneticPr fontId="13"/>
  </si>
  <si>
    <t>TEST CASE</t>
  </si>
  <si>
    <t>Test Case Description</t>
  </si>
  <si>
    <t>Result</t>
  </si>
  <si>
    <t>Change location</t>
  </si>
  <si>
    <t>Change description</t>
  </si>
  <si>
    <t>Note:</t>
  </si>
  <si>
    <t>TEST REPORT</t>
  </si>
  <si>
    <t>Effective Date</t>
  </si>
  <si>
    <t>First creation</t>
  </si>
  <si>
    <t>Reviewer/
Approver</t>
  </si>
  <si>
    <t>Originator</t>
  </si>
  <si>
    <t>Issue date:</t>
  </si>
  <si>
    <t>Test Case Procedure</t>
  </si>
  <si>
    <t>No</t>
  </si>
  <si>
    <t>Module code</t>
  </si>
  <si>
    <t>Number of  test cases</t>
  </si>
  <si>
    <t>Sub total</t>
  </si>
  <si>
    <t>Test coverage</t>
  </si>
  <si>
    <t>%</t>
  </si>
  <si>
    <t>Test successful coverage</t>
  </si>
  <si>
    <t>Record of change:</t>
  </si>
  <si>
    <t>Version</t>
  </si>
  <si>
    <t>Reference</t>
  </si>
  <si>
    <t>Test date</t>
  </si>
  <si>
    <t>Number of test cases:</t>
  </si>
  <si>
    <t>Expected Output</t>
  </si>
  <si>
    <t>Test requirement:</t>
  </si>
  <si>
    <t>ID</t>
  </si>
  <si>
    <t>Note</t>
  </si>
  <si>
    <t>Version:</t>
  </si>
  <si>
    <t>Project Name:</t>
  </si>
  <si>
    <t>Project Code:</t>
  </si>
  <si>
    <r>
      <t>System Name</t>
    </r>
    <r>
      <rPr>
        <b/>
        <sz val="10"/>
        <rFont val="ＭＳ Ｐゴシック"/>
        <family val="3"/>
        <charset val="128"/>
      </rPr>
      <t>：</t>
    </r>
  </si>
  <si>
    <r>
      <t>Module Code</t>
    </r>
    <r>
      <rPr>
        <b/>
        <sz val="10"/>
        <rFont val="MS Gothic"/>
        <family val="3"/>
      </rPr>
      <t>：</t>
    </r>
  </si>
  <si>
    <t>Pass</t>
  </si>
  <si>
    <t>Pending</t>
  </si>
  <si>
    <t>1.0</t>
  </si>
  <si>
    <t>Checking new role is added</t>
  </si>
  <si>
    <r>
      <t xml:space="preserve">Checking new function is added in </t>
    </r>
    <r>
      <rPr>
        <b/>
        <sz val="10"/>
        <color indexed="8"/>
        <rFont val="Tahoma"/>
        <family val="2"/>
      </rPr>
      <t>Classic or Current Mode</t>
    </r>
  </si>
  <si>
    <r>
      <t>Checking new function is added in</t>
    </r>
    <r>
      <rPr>
        <b/>
        <sz val="10"/>
        <color indexed="8"/>
        <rFont val="Tahoma"/>
        <family val="2"/>
      </rPr>
      <t xml:space="preserve"> Expert Mode</t>
    </r>
  </si>
  <si>
    <r>
      <t>See a new menu item: "</t>
    </r>
    <r>
      <rPr>
        <b/>
        <sz val="10"/>
        <color indexed="8"/>
        <rFont val="Tahoma"/>
        <family val="2"/>
      </rPr>
      <t>Export all Carriers" to be enabled in Current Quote Menu</t>
    </r>
  </si>
  <si>
    <r>
      <t>See</t>
    </r>
    <r>
      <rPr>
        <sz val="10"/>
        <color indexed="8"/>
        <rFont val="Tahoma"/>
        <family val="2"/>
      </rPr>
      <t xml:space="preserve"> a new menu item: "</t>
    </r>
    <r>
      <rPr>
        <b/>
        <sz val="10"/>
        <color indexed="8"/>
        <rFont val="Tahoma"/>
        <family val="2"/>
      </rPr>
      <t>Export all Carriers" to be disabled in Current Quote Menu</t>
    </r>
  </si>
  <si>
    <r>
      <t xml:space="preserve">Check performent of function in Current or Classic Mode </t>
    </r>
    <r>
      <rPr>
        <b/>
        <sz val="10"/>
        <color indexed="8"/>
        <rFont val="Tahoma"/>
        <family val="2"/>
      </rPr>
      <t>has multi carrier support for a circuit</t>
    </r>
  </si>
  <si>
    <r>
      <t xml:space="preserve">Check performent of function in Expert Mode
</t>
    </r>
    <r>
      <rPr>
        <b/>
        <sz val="10"/>
        <color indexed="8"/>
        <rFont val="Tahoma"/>
        <family val="2"/>
      </rPr>
      <t>Have multi carriers support for a circuit</t>
    </r>
  </si>
  <si>
    <t>TC8</t>
  </si>
  <si>
    <t>3. Check value of IRD column</t>
  </si>
  <si>
    <t>See IRD column in Template excel to show "IR"</t>
  </si>
  <si>
    <t>See IRD column in Template excel to show "IRD"</t>
  </si>
  <si>
    <t>See IRD column in Template excel to show "ID"</t>
  </si>
  <si>
    <t>See IRD column in Template excel to show "RD"</t>
  </si>
  <si>
    <t>See IRD column in Template excel to show "I"</t>
  </si>
  <si>
    <t>See IRD column in Template excel to show "R"</t>
  </si>
  <si>
    <t>See IRD column in Template excel to show "D"</t>
  </si>
  <si>
    <t>TC9</t>
  </si>
  <si>
    <t>TC10</t>
  </si>
  <si>
    <t>TC11</t>
  </si>
  <si>
    <t>TC12</t>
  </si>
  <si>
    <t>TC13</t>
  </si>
  <si>
    <t>TC14</t>
  </si>
  <si>
    <t>TC15</t>
  </si>
  <si>
    <t>Check value of IRD column with Carrier for each circuit with its aggregate I, R</t>
  </si>
  <si>
    <t>Check value of IRD column with Carrier for each circuit with its aggregate I, R, D</t>
  </si>
  <si>
    <t>Check value of IRD column with Carrier for each circuit with its aggregate I, D</t>
  </si>
  <si>
    <t>Check value of IRD column with Carrier for each circuit with its aggregate R, D</t>
  </si>
  <si>
    <t>Check value of IRD column with Carrier for each circuit with its aggregate I</t>
  </si>
  <si>
    <t>Check value of IRD column with Carrier for each circuit with its aggregate  R</t>
  </si>
  <si>
    <t>Check value of IRD column with Carrier for each circuit with its aggregate  D</t>
  </si>
  <si>
    <r>
      <t xml:space="preserve">1: Will be the same content as </t>
    </r>
    <r>
      <rPr>
        <sz val="10"/>
        <rFont val="Tahoma"/>
        <family val="2"/>
      </rPr>
      <t xml:space="preserve">CanSeeFullCostAndPriceBreakdown Role = False at the Current system </t>
    </r>
    <r>
      <rPr>
        <sz val="10"/>
        <color indexed="8"/>
        <rFont val="Tahoma"/>
        <family val="2"/>
      </rPr>
      <t xml:space="preserve">
2: The export will not just contain one row for each circuit, but will contain one row for each carrier that can provide those circuits. </t>
    </r>
    <r>
      <rPr>
        <b/>
        <sz val="10"/>
        <color indexed="8"/>
        <rFont val="Tahoma"/>
        <family val="2"/>
      </rPr>
      <t>The entire row details will  be duplicated except the carrier name, price and carrier COS</t>
    </r>
    <r>
      <rPr>
        <sz val="10"/>
        <color indexed="8"/>
        <rFont val="Tahoma"/>
        <family val="2"/>
      </rPr>
      <t xml:space="preserve">
3: A carrier will only be shown once for each circuit with its its aggregate IRD
4: Instead of only showing the total NRC and MRC, we will break out the price elements and show total NRC and MRC CLIENT PRICE for Access, Port, 6 CoS all separately, then Total – so 18 columns for figures in total
5: After the access, port, 6 CoS “requirement speeds”, should have 8 columns of speeds that have been priced 
</t>
    </r>
    <r>
      <rPr>
        <b/>
        <sz val="10"/>
        <color indexed="8"/>
        <rFont val="Tahoma"/>
        <family val="2"/>
      </rPr>
      <t>See sheet Template A</t>
    </r>
  </si>
  <si>
    <r>
      <t>Role Tab is added a new role, it's name "</t>
    </r>
    <r>
      <rPr>
        <b/>
        <sz val="10"/>
        <color indexed="8"/>
        <rFont val="Tahoma"/>
        <family val="2"/>
      </rPr>
      <t>CanExportAllCarrierChoices"</t>
    </r>
  </si>
  <si>
    <t>Check set Role CanExportAllCarrierChoices = True</t>
  </si>
  <si>
    <t>Check set Role CanExportAllCarrierChoices = False</t>
  </si>
  <si>
    <t>TC19</t>
  </si>
  <si>
    <t>TC20</t>
  </si>
  <si>
    <t>TC21</t>
  </si>
  <si>
    <t>TC22</t>
  </si>
  <si>
    <r>
      <t>Don’t see</t>
    </r>
    <r>
      <rPr>
        <sz val="10"/>
        <color indexed="8"/>
        <rFont val="Tahoma"/>
        <family val="2"/>
      </rPr>
      <t xml:space="preserve"> a new menu item: "</t>
    </r>
    <r>
      <rPr>
        <b/>
        <sz val="10"/>
        <color indexed="8"/>
        <rFont val="Tahoma"/>
        <family val="2"/>
      </rPr>
      <t>Export all Carriers" in Current Quote Menu</t>
    </r>
  </si>
  <si>
    <r>
      <t>Don’t see</t>
    </r>
    <r>
      <rPr>
        <sz val="10"/>
        <color indexed="8"/>
        <rFont val="Tahoma"/>
        <family val="2"/>
      </rPr>
      <t xml:space="preserve"> a new menu item: "</t>
    </r>
    <r>
      <rPr>
        <b/>
        <sz val="10"/>
        <color indexed="8"/>
        <rFont val="Tahoma"/>
        <family val="2"/>
      </rPr>
      <t>Export all Carriers"  in Current Quote Menu</t>
    </r>
  </si>
  <si>
    <r>
      <t xml:space="preserve">Check performent of function in Expert Mode
</t>
    </r>
    <r>
      <rPr>
        <b/>
        <sz val="10"/>
        <color indexed="8"/>
        <rFont val="Tahoma"/>
        <family val="2"/>
      </rPr>
      <t xml:space="preserve">each circuit has only one carrier support
</t>
    </r>
  </si>
  <si>
    <r>
      <t xml:space="preserve">1: Will be the same content as CanSeeFullCostAndPriceBreakdown Role = False at the Current system
</t>
    </r>
    <r>
      <rPr>
        <sz val="10"/>
        <rFont val="Tahoma"/>
        <family val="2"/>
      </rPr>
      <t>2: The export show one row for each circuit has only one carrier support</t>
    </r>
    <r>
      <rPr>
        <sz val="10"/>
        <color indexed="8"/>
        <rFont val="Tahoma"/>
        <family val="2"/>
      </rPr>
      <t xml:space="preserve">
3: A carrier will only be shown once for each circuit with its its aggregate IRD
4: Instead of only showing the total NRC and MRC, we will break out the price elements and show total NRC and MRC CLIENT PRICE for Access, Port, 6 CoS all separately, then Total – so 18 columns for figures in total
5: After the access, port, 6 CoS “requirement speeds”, should have 8 columns of speeds that have been priced 
6: For Expert, this will contain the VSIP tables (selected VSIPs, selected VSIP capacities) which many be a table with no entries in it </t>
    </r>
    <r>
      <rPr>
        <b/>
        <sz val="10"/>
        <color indexed="8"/>
        <rFont val="Tahoma"/>
        <family val="2"/>
      </rPr>
      <t>(All infomation in it are Blank)</t>
    </r>
    <r>
      <rPr>
        <sz val="10"/>
        <color indexed="8"/>
        <rFont val="Tahoma"/>
        <family val="2"/>
      </rPr>
      <t xml:space="preserve">
</t>
    </r>
    <r>
      <rPr>
        <b/>
        <sz val="10"/>
        <color indexed="8"/>
        <rFont val="Tahoma"/>
        <family val="2"/>
      </rPr>
      <t>See sheet Template B1</t>
    </r>
  </si>
  <si>
    <r>
      <t xml:space="preserve">1: Will be the same content as CanSeeFullCostAndPriceBreakdown Role = False at the Current system
2: The export show one row for each circuit has only one carrier support
3: A carrier will only be shown once for each circuit with its its aggregate IRD
4: Instead of only showing the total NRC and MRC, we will break out the price elements and show total NRC and MRC CLIENT PRICE for Access, Port, 6 CoS all separately, then Total – so 18 columns for figures in total
5: After the access, port, 6 CoS “requirement speeds”, should have 8 columns of speeds that have been priced 
</t>
    </r>
    <r>
      <rPr>
        <b/>
        <sz val="10"/>
        <color indexed="8"/>
        <rFont val="Tahoma"/>
        <family val="2"/>
      </rPr>
      <t>See sheet Template A1</t>
    </r>
  </si>
  <si>
    <r>
      <t xml:space="preserve">Check performent of function in Current or Classic Mode
</t>
    </r>
    <r>
      <rPr>
        <b/>
        <sz val="10"/>
        <color indexed="8"/>
        <rFont val="Tahoma"/>
        <family val="2"/>
      </rPr>
      <t>each circuit has only one carrier support</t>
    </r>
  </si>
  <si>
    <t>Check value of IRD column with Carrier for each circuit with its aggregate  IRD</t>
  </si>
  <si>
    <t>See IRD column is tempalate to show "-"</t>
  </si>
  <si>
    <r>
      <t xml:space="preserve">Check value of Carrier column if Set role </t>
    </r>
    <r>
      <rPr>
        <b/>
        <sz val="10"/>
        <color indexed="8"/>
        <rFont val="Tahoma"/>
        <family val="2"/>
      </rPr>
      <t>CanSeeCarrierName = True</t>
    </r>
  </si>
  <si>
    <t xml:space="preserve">See Carrier column: value of it is Carriername (carriercode1, carriercode2…..) </t>
  </si>
  <si>
    <r>
      <t xml:space="preserve">Check value of Carrier column if Set role </t>
    </r>
    <r>
      <rPr>
        <b/>
        <sz val="10"/>
        <color indexed="8"/>
        <rFont val="Tahoma"/>
        <family val="2"/>
      </rPr>
      <t>CanSeeCarrierNamer = False</t>
    </r>
  </si>
  <si>
    <t>See Notes, COS selected column: value of them are Client notes/COS selected as on Pricing option popup</t>
  </si>
  <si>
    <t>See Notes, COS selected column: value of them are Blank</t>
  </si>
  <si>
    <r>
      <t xml:space="preserve">Check value of Note column if Set role </t>
    </r>
    <r>
      <rPr>
        <b/>
        <sz val="10"/>
        <color indexed="8"/>
        <rFont val="Tahoma"/>
        <family val="2"/>
      </rPr>
      <t>CanSeeNotesAndCoSIndicator = True</t>
    </r>
  </si>
  <si>
    <r>
      <t xml:space="preserve">Check value of Note column if Set role </t>
    </r>
    <r>
      <rPr>
        <b/>
        <sz val="10"/>
        <color indexed="8"/>
        <rFont val="Tahoma"/>
        <family val="2"/>
      </rPr>
      <t>CanSeeNotesAndCoSIndicator = False</t>
    </r>
  </si>
  <si>
    <t>See Carrier column: value of it is Carriercode1,Carriercode2……</t>
  </si>
  <si>
    <t xml:space="preserve">See Carrier column: value of it is Carriername (Expertcode1, expertcode2…..) </t>
  </si>
  <si>
    <t>See Carrier column: value of it is Expertcode1,Expertcode2……</t>
  </si>
  <si>
    <t>See Carrier column: value of it is Carriername Carriercode1, Carriercode2…..) with site is MPLS
With site is DIA: carrier column show value CarrierName</t>
  </si>
  <si>
    <t>See Carrier column: value of it is Carriercode1,carriercode2…… with site is MPLS
With site is DIA then show at the Carrier column to be "-"</t>
  </si>
  <si>
    <t>TC23</t>
  </si>
  <si>
    <t>TC24</t>
  </si>
  <si>
    <t>TC25</t>
  </si>
  <si>
    <t>TC26</t>
  </si>
  <si>
    <t>TC27</t>
  </si>
  <si>
    <t>TC28</t>
  </si>
  <si>
    <t>TC29</t>
  </si>
  <si>
    <t>TC30</t>
  </si>
  <si>
    <t>TC31</t>
  </si>
  <si>
    <t>TC32</t>
  </si>
  <si>
    <t>TC33</t>
  </si>
  <si>
    <t xml:space="preserve">                                                                            Set at the Classic Mode, ClassicDIA Mode when site is DIA +Role CanSeeCarrierName = False</t>
  </si>
  <si>
    <t>4. Check value of Notes/COS Selected column</t>
  </si>
  <si>
    <t>5. Check value of  columns that provider supports</t>
  </si>
  <si>
    <t>6. Check value of Carrier column</t>
  </si>
  <si>
    <t xml:space="preserve">                                                              Check value of Carrier column at the Current Mode</t>
  </si>
  <si>
    <t xml:space="preserve">                                                             Check value of Carrier column at the Expert Mode</t>
  </si>
  <si>
    <t xml:space="preserve">                                                              Check value of Carrier column at the Classic Mode</t>
  </si>
  <si>
    <t xml:space="preserve">                                                             Check value of Carrier column at the ClassicDIA Mode</t>
  </si>
  <si>
    <t>2. Check Template of Excel when Export all Carriers</t>
  </si>
  <si>
    <t xml:space="preserve">                                                          Set at the Current mode, Expert Mode, ClassicDIA Mode when site is MPLS + Role CanSeeCarrierName =True</t>
  </si>
  <si>
    <t>Expert doesn't test</t>
  </si>
  <si>
    <t xml:space="preserve">See Carrier column: value of it is Carriername (Carriercode1,Carriercode2…..) </t>
  </si>
  <si>
    <t>With Mode classic is fail
ClassicDIA : Ok</t>
  </si>
  <si>
    <t>With Mode classic ,
ClassicDIA : Ok</t>
  </si>
  <si>
    <t xml:space="preserve">Check value of TOTAL (A+P+CoS) Client Price NRC column </t>
  </si>
  <si>
    <t xml:space="preserve">Check value of TOTAL (A+P+CoS) Client Price MRC column </t>
  </si>
  <si>
    <t>TOTAL (A+P+CoS) Client Price NRC =Access Client Price NRC +Port Client Price NRC +CoS Voice Client Price NRC +CoS Voice Client Price NRC+CoS Premium (H) Client Price NRC+ CoS Premium (M) Client Price NRC+ CoS Premium (N) Client Price NRC+COS Best Effort Client Price NRC</t>
  </si>
  <si>
    <t>TOTAL (A+P+CoS) Client Price MRC =Access Client Price MRC +Port Client Price MRC +CoS Voice Client Price MRC +CoS Voice Client Price MRC+CoS Premium (H) Client Price MRC+ CoS Premium (M) Client Price MRC+ CoS Premium (N) Client Price MRC+COS Best Effort Client Price MRC</t>
  </si>
  <si>
    <t>TC34</t>
  </si>
  <si>
    <t>TC35</t>
  </si>
  <si>
    <t>Check value of Note column if Access, Port, CoS Rule are mapping</t>
  </si>
  <si>
    <t>See value of  Notes: show full information Access, Port, CoS rule to be mapping</t>
  </si>
  <si>
    <t>TC36</t>
  </si>
  <si>
    <t>7. Check value of TOTAL (A+P+CoS) Client Price NRC/MRC column at the Current, Classic, Expert Mode</t>
  </si>
  <si>
    <t>CR100 - Export to excel</t>
  </si>
  <si>
    <t xml:space="preserve">CR1 - </t>
  </si>
  <si>
    <t>1. Check add role "CanExportAllCarrierChoises": This will be typically set for System users only</t>
  </si>
  <si>
    <t xml:space="preserve">1: Go to the system TestProEngine with Classic or Current or Expert Mode
2: Go to maintenance 
3: Click Maintenance Users
4: Click Role Tab
</t>
  </si>
  <si>
    <t>1: Go to the system TestProEngine with Classic or Current  Mode that has to set role "CanExportAllCarrierChoices"
2: Submit for the quote 
3: Open the quote at the home
4: Go to Quick Links</t>
  </si>
  <si>
    <t>1: Go to the system TestProEngine with Classic or Current  Mode that has to set role "CanExportAllCarrierChoices"
2: Unsubmit for the quote 
3: Open the quote at the home
4: Go to Quick Links</t>
  </si>
  <si>
    <t xml:space="preserve">1: Go to the system TestProEngine with Expert  Mode that has to set role "CanExportAllCarrierChoices"
2: Submit for the quote
3: Open the quote at the home
4: See on left Panel </t>
  </si>
  <si>
    <t xml:space="preserve">1: Go to the system TestProEngine with Expert  Mode that has to set role "CanExportAllCarrierChoices"
2:Unsubmit for the quote 
3: Open the quote at the home
4: See on Left Panel </t>
  </si>
  <si>
    <t>1: Go to the system TestProEngine with Classic or Current  Mode that has not to set role "CanExportAllCarrierChoices"
2: Submit for the quote 
3: Open the quote at the home
4: Go to Quick Links</t>
  </si>
  <si>
    <t>1: Go to the system TestProEngine with Classic or Current  Mode that has not to set role "CanExportAllCarrierChoices"
2: Unsubmit for the quote 
3: Open the quote at the home
4: Go to Quick Links</t>
  </si>
  <si>
    <t xml:space="preserve">1: Go to the system TestProEngine with Expert  Mode that has not to set role "CanExportAllCarrierChoices"
2: Submit for the quote
3: Open the quote at the home
4: See on left Panel </t>
  </si>
  <si>
    <t xml:space="preserve">1: Go to the system TestProEngine with Expert  Mode that has not to set role "CanExportAllCarrierChoices"
2:Unsubmit for the quote 
3: Open the quote at the home
4: See on Left Panel </t>
  </si>
  <si>
    <t>1: Go to the system TestProEngine with Current or Classic  Mode
2: Create quote and submit
3: Click [Export all Carriers] on Quick Links</t>
  </si>
  <si>
    <t>1: Go to the system TestProEngine with Current or Classic  Mode
2: Creat quote and Submit
3: Click [Export all Carriers] on Quick Links</t>
  </si>
  <si>
    <t>1: Go to the system TestProEngine with  Expert  Mode
2: Creat quote and submit
2: Click [Export all Carriers] button</t>
  </si>
  <si>
    <t xml:space="preserve">1: Go to the system TestProEngine with  Expert  Mode
2: Creat quote and submit
3: Click [Export all Carriers] button
</t>
  </si>
  <si>
    <t xml:space="preserve">1: Go to the system TestProEngine with Current or Classic or Expert  Mode
2: Creat quote and submit
3: Click [Export all Carriers] </t>
  </si>
  <si>
    <t xml:space="preserve">1: Go to the system TestProEngine with ClassicDIA or Classic  Mode
2: Creat quote(with ClassicDIA create site that is DIA) and submit
3: Click [Export all Carriers] at Quick Links </t>
  </si>
  <si>
    <t>1: Go to the system TestProEngine Current or Classic or Expert Mode
2: Create quote and submit for it
3: Go to Maintenance User set role CanSeeNotesAndCoSIndicator = True
4: Open the quote
5: Click [Export all Carriers] at Quick Links/Left Panel</t>
  </si>
  <si>
    <t>1: Go to the system TestProEngine Current or Classic or Expert Mode
2: Create quote and submit for it
3: Go to Maintenance User set role CanSeeNotesAndCoSIndicator = False
4: Open the quote
5: Click [Export all Carriers] at Quick Links /Left panel</t>
  </si>
  <si>
    <t>1: Go to the system TestProEngine Current or Classic or Expert Mode
2: Create quote and submit for it
3: Open the quote
4: Click [Export all Carriers] at Quick Links /Left panel</t>
  </si>
  <si>
    <t>1: Go to the system TestProEngine Current Mode
2: Create quote and submit for it
3: Go to Maintenance User set role CanSeeCarrierName = True
4: Open the quote
5: Click [Export all Carriers] at Quick Links</t>
  </si>
  <si>
    <t>1: Go to the system TestProEngine Current Mode
2: Create quote and submit for it
3: Go to Maintenance User set role CanSeeCarrierName = False
4: Open the quote
5: Click [Export all Carriers] at Quick links</t>
  </si>
  <si>
    <t>1: Go to the system TestProEngine Expert Mode
2: Create quote and submit for it
3: Go to Maintenance User set role CanSeeCarrierName = True
4: Open the quote
5: Click [Export all Carriers] at left panel</t>
  </si>
  <si>
    <t>1: Go to the system TestProEngine Expert Mode
2: Create quote and submit for it
3: Go to Maintenance User set role CanSeeCarrierName = False
4: Open the quote
5: Click [Export all Carriers] at left panel</t>
  </si>
  <si>
    <t>1: Go to the system TestProEngine Classic Mode
2: Create quote and submit for it
3: Go to Maintenance User set role CanSeeCarrierName = True
4: Open the quote
5: Click [Export all Carriers] at Quick Links</t>
  </si>
  <si>
    <t>1: Go to the system TestProEngine Classic Mode
2: Create quote and submit for it
3: Go to Maintenance User set role CanSeeCarrierName = False
4: Open the quote
5: Click [Export all Carriers] at Quick Links</t>
  </si>
  <si>
    <t>1: Go to the system TestProEngine Classic Mode
2: Create quote MPLS, DIA and submit for them
3: Go to Maintenance User set role CanSeeCarrierName = True
4: Open the quote
5: Click [Export all Carriers] at Quick Links</t>
  </si>
  <si>
    <t>1: Go to the system TestProEngine Classic Mode
2: Create quote MPLS, DIA and submit for them
3: Go to Maintenance User set role CanSeeCarrierName = False
4: Open the quote
5: Click [Export all Carriers] at Quick Links</t>
  </si>
  <si>
    <t>1: Go to the system TestProEngine Classic Mode
2: Create quote MPLS, DIA and submit for them
3: Open the quote
4: Click [Export all Carriers] at Quick Links
5: See value of TOTAL (A+P+CoS) Client Price NRC</t>
  </si>
  <si>
    <t>1: Go to the system TestProEngine Classic Mode
2: Create quote MPLS, DIA and submit for them
3: Open the quote
4: Click [Export all Carriers] at Quick Links
5: See value of TOTAL (A+P+CoS) Client Price MRC</t>
  </si>
  <si>
    <t>Shopệct OSS</t>
  </si>
  <si>
    <t>SOSS-Online</t>
  </si>
  <si>
    <t>Trần Hải Nam</t>
  </si>
  <si>
    <t>SRS, Test Design</t>
  </si>
  <si>
    <t>REGx1 - Đăng ký tài khoản</t>
  </si>
  <si>
    <t>1. Tạo tài khoản với email và password</t>
  </si>
  <si>
    <t>Chưa đăng nhập</t>
  </si>
  <si>
    <t>Đăng ký bằng mail hợp lệ</t>
  </si>
  <si>
    <t>1. Mở trang đăng ký
2. Nhập Email và Password hợp lệ
3. Click Register</t>
  </si>
  <si>
    <t>Hiển thị thông báo 'Đăng ký thành công'; 
chuyển đến trang login</t>
  </si>
  <si>
    <t>Test data</t>
  </si>
  <si>
    <t>Email=user@example.com; Password=Pass123</t>
  </si>
  <si>
    <t>Email=user@example.com; Password=Pass123@</t>
  </si>
  <si>
    <t>Đăng ký bằng email trùng</t>
  </si>
  <si>
    <t>Người dùng chưa đăng nhập</t>
  </si>
  <si>
    <t>14/06/2025</t>
  </si>
  <si>
    <t>1. Mở trang đăng ký
2. Nhập Email đã tồn tại, click Register</t>
  </si>
  <si>
    <t>Hiển thị lỗi, 'Email đang được sử dụng'</t>
  </si>
  <si>
    <t>Email=existing@example.com; Password=Pass123@</t>
  </si>
  <si>
    <t>Đăng ký bằng Google Oauth</t>
  </si>
  <si>
    <t>Tài khoản Google hợp lệ</t>
  </si>
  <si>
    <t>Hiện thị thông báo "Đăng ký thành công' và chuyển đến trang sản phẩm chính</t>
  </si>
  <si>
    <t>1. Mở trang đăng ký
2. Chọn "đăng nhập với Google"
3. Chọn tài khoản google hợp lệ, chờ callback</t>
  </si>
  <si>
    <t>Hệ thống tài khoản</t>
  </si>
  <si>
    <t>REG1</t>
  </si>
  <si>
    <t>REG2</t>
  </si>
  <si>
    <t>REG3</t>
  </si>
  <si>
    <t>1. Kiểm tra đăng nhập với dữ liệu hợp lệ</t>
  </si>
  <si>
    <t>Actual Result</t>
  </si>
  <si>
    <t>1. Đăng ký thành công
2. Chuyển đến trang login</t>
  </si>
  <si>
    <t>1. Email đang được sử dụng</t>
  </si>
  <si>
    <t>1. Đăng ký thành công
2. Chuyển đến trang chính</t>
  </si>
  <si>
    <t>LOGx1 - Đăng nhập tài khoản</t>
  </si>
  <si>
    <t>LOG1</t>
  </si>
  <si>
    <t>Email=user@example.com; Password=WrongPass</t>
  </si>
  <si>
    <t>15/06/2025</t>
  </si>
  <si>
    <t>LOG2</t>
  </si>
  <si>
    <t>Đăng nhập thành công</t>
  </si>
  <si>
    <t>Login đúng mật khẩu và email</t>
  </si>
  <si>
    <t>2. Kiểm tra đăng nhập với dữ liệu không hợp lệ</t>
  </si>
  <si>
    <t>Login sai mật khẩu, đúng email</t>
  </si>
  <si>
    <t>1. Vào trang login
2. Nhập khớp mật khẩu và email, bấm login</t>
  </si>
  <si>
    <t>Hiển thị thông báo 'Đăng nhập thành công'</t>
  </si>
  <si>
    <t>1. Vào trang login
2. Nhập sai mật khẩu và đúng email, bấm login</t>
  </si>
  <si>
    <t>Hiển thị lỗi 'Bạn nhập sai mật khẩu hoặc email'</t>
  </si>
  <si>
    <t>Bạn nhập sai mật khẩu</t>
  </si>
  <si>
    <t>Cần hiển thị đúng thông báo "Bạn nhập sai mật khẩu hoặc email", để gây tâm lý tránh tấn công phát hiện email tồn tại trên máy chủ</t>
  </si>
  <si>
    <t>LOG3</t>
  </si>
  <si>
    <t>Login sai email, đúng mật khẩu</t>
  </si>
  <si>
    <t>1. Vào trang login
2. Nhập đúng mật khẩu, sai email</t>
  </si>
  <si>
    <t>Tài khoản không tồn tại</t>
  </si>
  <si>
    <t>Email=user2@example.com; Password=Pass123</t>
  </si>
  <si>
    <t>Cần hiển thị đúng thông báo "Bạn nhập sai mật khẩu hoặc email", để gây tâm lý tránh tấn công phát hiện email tồn tại trên máy chủ nếu nhập đúng mail</t>
  </si>
  <si>
    <t>EDTx1 - Chỉnh sửa tài khoản</t>
  </si>
  <si>
    <t>Đã đăng nhập tài khoản</t>
  </si>
  <si>
    <t xml:space="preserve">Chỉnh sửa tên </t>
  </si>
  <si>
    <t>1. Vào Profile
2. Chọn phần tên
3. Nhấn edit</t>
  </si>
  <si>
    <t>Hiển thị thông báo 'Sửa tên thành công'</t>
  </si>
  <si>
    <t>Sửa tên thành công</t>
  </si>
  <si>
    <t>Tên Họ = Trần
Tên Đệm = Văn
Tên = Lộc</t>
  </si>
  <si>
    <t>EDT1</t>
  </si>
  <si>
    <t>EDT2</t>
  </si>
  <si>
    <t>EDT3</t>
  </si>
  <si>
    <t>Chỉnh sửa mật khẩu</t>
  </si>
  <si>
    <t>Hiển thị thông báo 'Đổi mật khẩu thành công'</t>
  </si>
  <si>
    <t>Đổi mật khẩu thành công</t>
  </si>
  <si>
    <t>test12345@@</t>
  </si>
  <si>
    <t>Đăng ký bằng mật khẩu không đủ tiêu chuẩn</t>
  </si>
  <si>
    <t>1. Mở trang đăng ký
2. Nhập email hợp lệ và password dưới 8 ký tự
3. Click Register</t>
  </si>
  <si>
    <t>Hiện thị thông báo "Mật khẩu không đủ 8 ký tự trở lên'</t>
  </si>
  <si>
    <t>1. Mật khẩu không đủ 8 ký tự</t>
  </si>
  <si>
    <t>REG4</t>
  </si>
  <si>
    <t>Chỉnh sửa mật khẩu không đủ tiêu chuẩn</t>
  </si>
  <si>
    <t>1. Vào Profile
2. Chọn phần mật khẩu
3. Nhấn edit
4. Nhập mật khẩu không đủ tiêu chuẩn</t>
  </si>
  <si>
    <t>1. Vào Profile
2. Chọn phần mật khẩu 
3. Nhấn edit
4. Nhập mật khẩu đủ tiêu chuẩn hợp lệ</t>
  </si>
  <si>
    <t>Hiển thị lỗi 'Mật khẩu cần từ 8 ký tự trở lên'</t>
  </si>
  <si>
    <t>Mật khẩu cần 8 ký tự trở lên</t>
  </si>
  <si>
    <t>test123</t>
  </si>
  <si>
    <t>Test chỉ áp dụng cho tài khoản không đăng ký qua Google Account</t>
  </si>
  <si>
    <t>Hệ thống giỏ hàng</t>
  </si>
  <si>
    <t>CRTx1 - Thêm sản phẩm vào giỏ hàng</t>
  </si>
  <si>
    <t>Đã đăng nhập tài khoản, sản phẩm còn hàng</t>
  </si>
  <si>
    <t>CRT1</t>
  </si>
  <si>
    <t>Thêm hàng vào giỏ</t>
  </si>
  <si>
    <t>1. Trên trang chính bấm chọn món hàng A
2. Từ A nhấm thêm vào giỏ hàng</t>
  </si>
  <si>
    <t>Hiển thị thông báo 'Đã thêm vào giỏ hàng'</t>
  </si>
  <si>
    <t>Đã thêm vào giỏ hàng</t>
  </si>
  <si>
    <t>16/06/2025</t>
  </si>
  <si>
    <t>CRT2</t>
  </si>
  <si>
    <t>Xóa vật phẩm khỏi giỏ hàng</t>
  </si>
  <si>
    <t>1. Từ trang chủ của giỏ hàng, chọn tích món hàng cần loại bỏ khỏi giỏ
2. Chọn Remove</t>
  </si>
  <si>
    <t>Món hàng sẽ bị xóa khỏi giỏ (Không có trả về)</t>
  </si>
  <si>
    <t>Hàng đã bị xóa khỏi giỏ hàng</t>
  </si>
  <si>
    <t>Người dùng tương tác</t>
  </si>
  <si>
    <t>CRT3</t>
  </si>
  <si>
    <t>Chỉnh sửa số lượng vật phẩm trong giỏ hàng</t>
  </si>
  <si>
    <t>1. Từ trang chủ của giỏ hàng, chọn món hàng A
2. Nhấn dấu "+" để thêm vật phẩm và dấu "-" để bỏ bớt vật phẩm</t>
  </si>
  <si>
    <t>Nếu số lượng vật phẩm lớn 1 thì nhấn "-" hợp lệ
Nếu số lượng vật phẩm từ 1 trở lên thì nhấn "+" hợp lệ</t>
  </si>
  <si>
    <t>Số lượng hàng A trong giỏ là 1, khi nhấn "-" thì giỏ báo còn 0 vật phẩm
Số lượng hàng A trong giỏ là 1, khi nhấn "+" thì giỏ báo có 2 vật phẩm</t>
  </si>
  <si>
    <t>17/06/2025</t>
  </si>
  <si>
    <t>Nếu số lượng vật phẩm = 1 thì không thể nhấn "-"</t>
  </si>
  <si>
    <t>CRT4</t>
  </si>
  <si>
    <t>Đặt hàng từ giỏ hàng</t>
  </si>
  <si>
    <t>1. Từ trang chủ của giỏ hàng, chọn món hàng A
2. Nhấn nút "Đặt hàng"</t>
  </si>
  <si>
    <t>Chuyển đến trang thanh toán</t>
  </si>
  <si>
    <t>-</t>
  </si>
  <si>
    <t>Hệ thống thanh toán</t>
  </si>
  <si>
    <t>Payx1 - Thanh toán bằng các phương thức khác</t>
  </si>
  <si>
    <t>1. Truyền vào giỏ hàng các dữ liệu món hàng</t>
  </si>
  <si>
    <t>1. Tiến hành thanh toán món hàng</t>
  </si>
  <si>
    <t>PAY1</t>
  </si>
  <si>
    <t>Thanh toán tiền mặt</t>
  </si>
  <si>
    <t>1. Từ trang checkout của đơn hàng, chọn phương thức thannh toán
2. Chọn "Thanh toán khi nhận hàng"</t>
  </si>
  <si>
    <t>Đã ghi nhận đơn</t>
  </si>
  <si>
    <t>PAY2</t>
  </si>
  <si>
    <t>Thanh toán trực tuyến</t>
  </si>
  <si>
    <t>Đã ghi nhận đơn, thanh toán thành công, hiện thông báo đặt hàng thành công</t>
  </si>
  <si>
    <t>Ghi nhận đơn, 'Order placed', hiện thông báo đặt hàng thành công</t>
  </si>
  <si>
    <t>Ghi nhận đơn, 'Order placed', đã thanh toán hàng, hiện thông báo đặt hàng thành công</t>
  </si>
  <si>
    <t>1. Từ trang checkout của đơn hàng, chọn phương thức thannh toán
2. Chọn "Thanh toán trực tuyến"
3. Điền thông tin thanh toán như thẻ tín dụng hoặc chọn ví điện tử
4. Nhấn nút thanh toán</t>
  </si>
  <si>
    <t>PAY3</t>
  </si>
  <si>
    <t>Lỗi thanh toán trực tuyến</t>
  </si>
  <si>
    <t>1. Từ trang checkout của đơn hàng, chọn phương thức thannh toán
2. Chọn "Thanh toán trực tuyến"
3. Điền thông tin thanh toán như thẻ tín dụng hoặc chọn ví điện tử (cả 2 loại này đều đã bị khóa thẻ hoặc không có tiền)
4. Nhấn nút thanh toán</t>
  </si>
  <si>
    <t>Không ghi nhận đơn, báo lỗi "thanh toán không đủ tiền" hoặc "thanh toán không thành công"</t>
  </si>
  <si>
    <t>Thanh toán không đủ tiền</t>
  </si>
  <si>
    <t>Hệ thống đơn hàng</t>
  </si>
  <si>
    <t>PAYx2 - Đặt hàng qua giỏ hàng</t>
  </si>
  <si>
    <t>Đã đăng nhập, Món hàng đang trong trạng thái checkout</t>
  </si>
  <si>
    <t>Đã đăng nhập tài khoản, sản phẩm đã có trong giỏ</t>
  </si>
  <si>
    <t>PAY11</t>
  </si>
  <si>
    <t>PAY12</t>
  </si>
  <si>
    <t>Đặt hàng từ giỏ hàng trạng thái hàng đã hết</t>
  </si>
  <si>
    <t>Báo lỗi "hàng đã hết" trước khi checkout</t>
  </si>
  <si>
    <t>Hàng đã hết</t>
  </si>
  <si>
    <t>18/06/2025</t>
  </si>
  <si>
    <t>PAYx2 - Hủy đơn hàng</t>
  </si>
  <si>
    <t>Sản phẩm sau khi đã thanh toán thành công</t>
  </si>
  <si>
    <t>PAY21</t>
  </si>
  <si>
    <t>Hủy đơn hàng</t>
  </si>
  <si>
    <t>1. Từ khu vực đơn hàng
2. Nhấn nút hủy "đơn hàng"
3. Chọn confirm</t>
  </si>
  <si>
    <t>Đơn hàng hủy thành công</t>
  </si>
  <si>
    <t>EDTx2 - Đăng xuất</t>
  </si>
  <si>
    <t>Khi đã login</t>
  </si>
  <si>
    <t>EDT21</t>
  </si>
  <si>
    <t>Đăng xuất</t>
  </si>
  <si>
    <t>1. Từ khu vực profile, chọn đăng xuất</t>
  </si>
  <si>
    <t>Đã đăng xuất khỏi thiết bị, "tài khoản đã đăng xuất thành công"</t>
  </si>
  <si>
    <t>Tài khoản đăng xuất khỏi thiết bị, hiện thông báo, "tài khoản đã đăng xuất thành công"</t>
  </si>
  <si>
    <t>19/06/2025</t>
  </si>
  <si>
    <t>Payx3 - Gửi hóa đơn mail</t>
  </si>
  <si>
    <t>Pay31</t>
  </si>
  <si>
    <t>Thực hiện gửi bản hóa đơn khi hàng được thanh toán</t>
  </si>
  <si>
    <t>Đã login, hàng đã được thanh toán thành công</t>
  </si>
  <si>
    <t>Kiểm tra hộp thư có nội dung hóa đơn đơn hàng đã tạo</t>
  </si>
  <si>
    <t>Kiểm tra hộp thư có nội dung hóa đơn</t>
  </si>
  <si>
    <t>Pay32</t>
  </si>
  <si>
    <t>Tạo bản sao dữ liệu lên cơ sở dữ liệu</t>
  </si>
  <si>
    <t>1. Từ khu vực thanh toán, thực hiện thanh toán
2. Hệ thống ghi nhận đơn hàng khi thanh toán thành công
3. Dữ liệu sẽ được ghi nhận bản sao vào cơ sở dữ liệu</t>
  </si>
  <si>
    <t>Có dữ liệu hóa đơn trên cơ sở dữ liệu</t>
  </si>
  <si>
    <t>1. Từ khu vực thanh toán, thực hiện thanh toán
2. Hệ thống ghi nhận đơn hàng khi thanh toán thành công
3. Kiểm tra email gửi qua email đang dùng để đăng nhập, hóa đơn mẫu đơn hàng sẽ gửi vào hòm thư</t>
  </si>
  <si>
    <t>1. Ghi nhận dữ liệu hóa đơn</t>
  </si>
  <si>
    <t>1. Đăng xuất</t>
  </si>
  <si>
    <t>Nothing</t>
  </si>
  <si>
    <t>20/06/2025</t>
  </si>
  <si>
    <t>Thay đổi các chức năng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</si>
</sst>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0"/>
  </numFmts>
  <fonts count="28">
    <font>
      <sz val="11"/>
      <name val="ＭＳ Ｐゴシック"/>
      <charset val="128"/>
    </font>
    <font>
      <sz val="11"/>
      <name val="ＭＳ Ｐゴシック"/>
      <charset val="128"/>
    </font>
    <font>
      <sz val="11"/>
      <name val="ＭＳ Ｐゴシック"/>
      <charset val="128"/>
    </font>
    <font>
      <sz val="9"/>
      <name val="ＭＳ ゴシック"/>
      <family val="3"/>
      <charset val="128"/>
    </font>
    <font>
      <sz val="10"/>
      <name val="Tahoma"/>
      <family val="2"/>
    </font>
    <font>
      <sz val="8"/>
      <color indexed="8"/>
      <name val="Tahoma"/>
      <family val="2"/>
    </font>
    <font>
      <sz val="10"/>
      <color indexed="8"/>
      <name val="Tahoma"/>
      <family val="2"/>
    </font>
    <font>
      <b/>
      <sz val="18"/>
      <name val="Tahoma"/>
      <family val="2"/>
    </font>
    <font>
      <sz val="11"/>
      <name val="Tahoma"/>
      <family val="2"/>
    </font>
    <font>
      <b/>
      <sz val="10"/>
      <name val="Tahoma"/>
      <family val="2"/>
    </font>
    <font>
      <b/>
      <sz val="10"/>
      <color indexed="60"/>
      <name val="Tahoma"/>
      <family val="2"/>
    </font>
    <font>
      <b/>
      <sz val="10"/>
      <name val="ＭＳ Ｐゴシック"/>
      <family val="3"/>
      <charset val="128"/>
    </font>
    <font>
      <b/>
      <sz val="10"/>
      <name val="MS Gothic"/>
      <family val="3"/>
    </font>
    <font>
      <sz val="6"/>
      <name val="ＭＳ Ｐゴシック"/>
      <family val="3"/>
      <charset val="128"/>
    </font>
    <font>
      <b/>
      <sz val="10"/>
      <color indexed="12"/>
      <name val="Tahoma"/>
      <family val="2"/>
    </font>
    <font>
      <b/>
      <sz val="10"/>
      <color indexed="9"/>
      <name val="Tahoma"/>
      <family val="2"/>
    </font>
    <font>
      <sz val="10"/>
      <color indexed="9"/>
      <name val="Tahoma"/>
      <family val="2"/>
    </font>
    <font>
      <sz val="8"/>
      <name val="ＭＳ Ｐゴシック"/>
      <charset val="128"/>
    </font>
    <font>
      <sz val="12"/>
      <color indexed="8"/>
      <name val="Tahoma"/>
      <family val="2"/>
    </font>
    <font>
      <b/>
      <sz val="12"/>
      <color indexed="9"/>
      <name val="Tahoma"/>
      <family val="2"/>
    </font>
    <font>
      <sz val="12"/>
      <name val="ＭＳ Ｐゴシック"/>
      <charset val="128"/>
    </font>
    <font>
      <b/>
      <sz val="10"/>
      <color indexed="8"/>
      <name val="Tahoma"/>
      <family val="2"/>
    </font>
    <font>
      <sz val="10"/>
      <color indexed="10"/>
      <name val="Tahoma"/>
      <family val="2"/>
    </font>
    <font>
      <sz val="11"/>
      <color indexed="10"/>
      <name val="ＭＳ Ｐゴシック"/>
      <charset val="128"/>
    </font>
    <font>
      <u/>
      <sz val="11"/>
      <color theme="10"/>
      <name val="ＭＳ Ｐゴシック"/>
      <charset val="128"/>
    </font>
    <font>
      <sz val="10"/>
      <color rgb="FF000000"/>
      <name val="Tahoma"/>
      <family val="2"/>
    </font>
    <font>
      <sz val="10"/>
      <color theme="1"/>
      <name val="Tahoma"/>
      <family val="2"/>
    </font>
    <font>
      <b/>
      <sz val="10"/>
      <color theme="1"/>
      <name val="Tahoma"/>
      <family val="2"/>
    </font>
  </fonts>
  <fills count="8">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41"/>
        <bgColor indexed="64"/>
      </patternFill>
    </fill>
    <fill>
      <patternFill patternType="solid">
        <fgColor indexed="13"/>
        <bgColor indexed="64"/>
      </patternFill>
    </fill>
    <fill>
      <patternFill patternType="solid">
        <fgColor indexed="56"/>
        <bgColor indexed="64"/>
      </patternFill>
    </fill>
    <fill>
      <patternFill patternType="solid">
        <fgColor indexed="6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hair">
        <color indexed="64"/>
      </right>
      <top/>
      <bottom/>
      <diagonal/>
    </border>
  </borders>
  <cellStyleXfs count="5">
    <xf numFmtId="0" fontId="0" fillId="0" borderId="0"/>
    <xf numFmtId="0" fontId="2" fillId="0" borderId="0"/>
    <xf numFmtId="0" fontId="1" fillId="0" borderId="0" applyProtection="0"/>
    <xf numFmtId="0" fontId="3" fillId="0" borderId="0"/>
    <xf numFmtId="0" fontId="24" fillId="0" borderId="0" applyNumberFormat="0" applyFill="0" applyBorder="0" applyAlignment="0" applyProtection="0"/>
  </cellStyleXfs>
  <cellXfs count="168">
    <xf numFmtId="0" fontId="0" fillId="0" borderId="0" xfId="0"/>
    <xf numFmtId="0" fontId="8" fillId="0" borderId="0" xfId="0" applyFont="1"/>
    <xf numFmtId="0" fontId="5" fillId="0" borderId="0" xfId="0" applyFont="1"/>
    <xf numFmtId="0" fontId="6" fillId="0" borderId="0" xfId="0" applyFont="1"/>
    <xf numFmtId="0" fontId="5" fillId="0" borderId="0" xfId="0" applyFont="1" applyAlignment="1">
      <alignment vertical="top"/>
    </xf>
    <xf numFmtId="0" fontId="10" fillId="0" borderId="0" xfId="0" applyFont="1"/>
    <xf numFmtId="0" fontId="5" fillId="2" borderId="0" xfId="0" applyFont="1" applyFill="1" applyAlignment="1">
      <alignment wrapText="1"/>
    </xf>
    <xf numFmtId="0" fontId="5" fillId="2" borderId="0" xfId="0" applyFont="1" applyFill="1"/>
    <xf numFmtId="0" fontId="6" fillId="2" borderId="0" xfId="0" applyFont="1" applyFill="1" applyAlignment="1">
      <alignment horizontal="center" wrapText="1"/>
    </xf>
    <xf numFmtId="0" fontId="6" fillId="2" borderId="0" xfId="0" applyFont="1" applyFill="1"/>
    <xf numFmtId="0" fontId="6" fillId="2" borderId="1" xfId="0" applyFont="1" applyFill="1" applyBorder="1" applyAlignment="1">
      <alignment horizontal="center" wrapText="1"/>
    </xf>
    <xf numFmtId="15" fontId="4" fillId="0" borderId="0" xfId="0" applyNumberFormat="1" applyFont="1" applyAlignment="1">
      <alignment horizontal="left"/>
    </xf>
    <xf numFmtId="0" fontId="6" fillId="2" borderId="2" xfId="0" applyFont="1" applyFill="1" applyBorder="1" applyAlignment="1">
      <alignment horizontal="right"/>
    </xf>
    <xf numFmtId="0" fontId="6" fillId="2" borderId="3" xfId="0" applyFont="1" applyFill="1" applyBorder="1" applyAlignment="1">
      <alignment horizontal="center" wrapText="1"/>
    </xf>
    <xf numFmtId="0" fontId="6" fillId="2" borderId="4" xfId="0" applyFont="1" applyFill="1" applyBorder="1" applyAlignment="1">
      <alignment horizontal="right"/>
    </xf>
    <xf numFmtId="0" fontId="7" fillId="0" borderId="0" xfId="1" applyFont="1"/>
    <xf numFmtId="0" fontId="9" fillId="0" borderId="0" xfId="1" applyFont="1"/>
    <xf numFmtId="0" fontId="4" fillId="0" borderId="0" xfId="1" applyFont="1"/>
    <xf numFmtId="164" fontId="4" fillId="0" borderId="0" xfId="1" applyNumberFormat="1" applyFont="1"/>
    <xf numFmtId="0" fontId="4" fillId="0" borderId="0" xfId="0" applyFont="1"/>
    <xf numFmtId="0" fontId="4" fillId="0" borderId="0" xfId="0" applyFont="1" applyAlignment="1">
      <alignment horizontal="center"/>
    </xf>
    <xf numFmtId="10" fontId="4" fillId="0" borderId="0" xfId="0" applyNumberFormat="1" applyFont="1" applyAlignment="1">
      <alignment horizontal="center"/>
    </xf>
    <xf numFmtId="9" fontId="4" fillId="0" borderId="0" xfId="0" applyNumberFormat="1" applyFont="1" applyAlignment="1">
      <alignment horizontal="center"/>
    </xf>
    <xf numFmtId="2" fontId="14" fillId="0" borderId="0" xfId="0" applyNumberFormat="1" applyFont="1" applyAlignment="1">
      <alignment horizontal="right" wrapText="1"/>
    </xf>
    <xf numFmtId="0" fontId="6" fillId="0" borderId="0" xfId="0" applyFont="1" applyAlignment="1">
      <alignment horizontal="center" wrapText="1"/>
    </xf>
    <xf numFmtId="0" fontId="8" fillId="2" borderId="0" xfId="0" applyFont="1" applyFill="1"/>
    <xf numFmtId="0" fontId="7" fillId="2" borderId="0" xfId="0" applyFont="1" applyFill="1"/>
    <xf numFmtId="0" fontId="10" fillId="2" borderId="0" xfId="0" applyFont="1" applyFill="1"/>
    <xf numFmtId="0" fontId="4" fillId="2" borderId="0" xfId="0" applyFont="1" applyFill="1"/>
    <xf numFmtId="0" fontId="6" fillId="0" borderId="5" xfId="0" applyFont="1" applyBorder="1" applyAlignment="1">
      <alignment horizontal="center"/>
    </xf>
    <xf numFmtId="0" fontId="4" fillId="0" borderId="7" xfId="0" applyFont="1" applyBorder="1" applyAlignment="1">
      <alignment horizontal="center"/>
    </xf>
    <xf numFmtId="0" fontId="8" fillId="0" borderId="0" xfId="0" applyFont="1" applyAlignment="1">
      <alignment vertical="center"/>
    </xf>
    <xf numFmtId="0" fontId="4" fillId="0" borderId="0" xfId="0" applyFont="1" applyAlignment="1">
      <alignment vertical="center"/>
    </xf>
    <xf numFmtId="164" fontId="4" fillId="0" borderId="7" xfId="0" applyNumberFormat="1" applyFont="1" applyBorder="1" applyAlignment="1">
      <alignment horizontal="center" vertical="center"/>
    </xf>
    <xf numFmtId="49" fontId="4" fillId="0" borderId="6" xfId="0" applyNumberFormat="1" applyFont="1" applyBorder="1" applyAlignment="1">
      <alignment horizontal="center" vertical="center"/>
    </xf>
    <xf numFmtId="0" fontId="4" fillId="0" borderId="6" xfId="0" quotePrefix="1" applyFont="1" applyBorder="1" applyAlignment="1">
      <alignment horizontal="center" vertical="center"/>
    </xf>
    <xf numFmtId="15" fontId="4" fillId="0" borderId="6" xfId="0" applyNumberFormat="1" applyFont="1" applyBorder="1" applyAlignment="1">
      <alignment horizontal="left" vertical="center"/>
    </xf>
    <xf numFmtId="49" fontId="4" fillId="0" borderId="6" xfId="0" quotePrefix="1" applyNumberFormat="1" applyFont="1" applyBorder="1" applyAlignment="1">
      <alignment horizontal="center" vertical="center"/>
    </xf>
    <xf numFmtId="0" fontId="4" fillId="0" borderId="6" xfId="0" applyFont="1" applyBorder="1" applyAlignment="1">
      <alignment vertical="center"/>
    </xf>
    <xf numFmtId="0" fontId="4" fillId="0" borderId="8" xfId="0" applyFont="1" applyBorder="1" applyAlignment="1">
      <alignment vertical="center"/>
    </xf>
    <xf numFmtId="164" fontId="4" fillId="0" borderId="7" xfId="0" applyNumberFormat="1" applyFont="1" applyBorder="1" applyAlignment="1">
      <alignment vertical="center"/>
    </xf>
    <xf numFmtId="49" fontId="4" fillId="0" borderId="6" xfId="0" applyNumberFormat="1" applyFont="1" applyBorder="1" applyAlignment="1">
      <alignment vertical="center"/>
    </xf>
    <xf numFmtId="0" fontId="8" fillId="0" borderId="8" xfId="0" applyFont="1" applyBorder="1" applyAlignment="1">
      <alignment vertical="center"/>
    </xf>
    <xf numFmtId="164" fontId="4" fillId="0" borderId="9" xfId="0" applyNumberFormat="1" applyFont="1" applyBorder="1" applyAlignment="1">
      <alignment vertical="center"/>
    </xf>
    <xf numFmtId="49" fontId="4" fillId="0" borderId="10" xfId="0" applyNumberFormat="1"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164" fontId="15" fillId="3" borderId="12" xfId="0" applyNumberFormat="1" applyFont="1" applyFill="1" applyBorder="1" applyAlignment="1">
      <alignment horizontal="center" vertical="center"/>
    </xf>
    <xf numFmtId="0" fontId="15" fillId="3" borderId="13" xfId="0" applyFont="1" applyFill="1" applyBorder="1" applyAlignment="1">
      <alignment horizontal="center" vertical="center"/>
    </xf>
    <xf numFmtId="0" fontId="15" fillId="3" borderId="13" xfId="0" applyFont="1" applyFill="1" applyBorder="1" applyAlignment="1">
      <alignment horizontal="center" vertical="center" wrapText="1"/>
    </xf>
    <xf numFmtId="0" fontId="15" fillId="3" borderId="12" xfId="0" applyFont="1" applyFill="1" applyBorder="1" applyAlignment="1">
      <alignment horizontal="center"/>
    </xf>
    <xf numFmtId="0" fontId="15" fillId="3" borderId="13" xfId="0" applyFont="1" applyFill="1" applyBorder="1" applyAlignment="1">
      <alignment horizontal="center"/>
    </xf>
    <xf numFmtId="0" fontId="15" fillId="3" borderId="13" xfId="0" applyFont="1" applyFill="1" applyBorder="1" applyAlignment="1">
      <alignment horizontal="center" wrapText="1"/>
    </xf>
    <xf numFmtId="0" fontId="15" fillId="3" borderId="14" xfId="0" applyFont="1" applyFill="1" applyBorder="1" applyAlignment="1">
      <alignment horizontal="center" wrapText="1"/>
    </xf>
    <xf numFmtId="0" fontId="16" fillId="3" borderId="9" xfId="0" applyFont="1" applyFill="1" applyBorder="1" applyAlignment="1">
      <alignment horizontal="center"/>
    </xf>
    <xf numFmtId="0" fontId="15" fillId="3" borderId="10" xfId="0" applyFont="1" applyFill="1" applyBorder="1"/>
    <xf numFmtId="0" fontId="16" fillId="3" borderId="10" xfId="0" applyFont="1" applyFill="1" applyBorder="1" applyAlignment="1">
      <alignment horizontal="center"/>
    </xf>
    <xf numFmtId="0" fontId="4" fillId="2" borderId="0" xfId="0" applyFont="1" applyFill="1" applyAlignment="1">
      <alignment horizontal="left"/>
    </xf>
    <xf numFmtId="0" fontId="9" fillId="2" borderId="0" xfId="2" applyFont="1" applyFill="1"/>
    <xf numFmtId="0" fontId="9" fillId="2" borderId="15" xfId="2" applyFont="1" applyFill="1" applyBorder="1" applyAlignment="1">
      <alignment horizontal="left" wrapText="1"/>
    </xf>
    <xf numFmtId="1" fontId="6" fillId="2" borderId="16" xfId="0" applyNumberFormat="1" applyFont="1" applyFill="1" applyBorder="1" applyAlignment="1">
      <alignment horizontal="center" wrapText="1"/>
    </xf>
    <xf numFmtId="0" fontId="0" fillId="0" borderId="0" xfId="0" applyAlignment="1">
      <alignment wrapText="1"/>
    </xf>
    <xf numFmtId="0" fontId="4" fillId="2" borderId="0" xfId="2" applyFont="1" applyFill="1" applyAlignment="1">
      <alignment horizontal="left" wrapText="1"/>
    </xf>
    <xf numFmtId="1" fontId="6" fillId="2" borderId="0" xfId="0" applyNumberFormat="1" applyFont="1" applyFill="1" applyAlignment="1">
      <alignment horizontal="center" wrapText="1"/>
    </xf>
    <xf numFmtId="0" fontId="9" fillId="2" borderId="2" xfId="2" applyFont="1" applyFill="1" applyBorder="1" applyAlignment="1">
      <alignment horizontal="left" vertical="center" wrapText="1"/>
    </xf>
    <xf numFmtId="0" fontId="4" fillId="0" borderId="0" xfId="0" applyFont="1" applyAlignment="1">
      <alignment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1" fontId="4" fillId="0" borderId="8" xfId="0" applyNumberFormat="1" applyFont="1" applyBorder="1" applyAlignment="1">
      <alignment horizontal="center" vertical="center" wrapText="1"/>
    </xf>
    <xf numFmtId="15" fontId="4" fillId="0" borderId="6" xfId="0" applyNumberFormat="1" applyFont="1" applyBorder="1" applyAlignment="1">
      <alignment horizontal="center" vertical="center"/>
    </xf>
    <xf numFmtId="0" fontId="4" fillId="2" borderId="0" xfId="2" applyFont="1" applyFill="1" applyAlignment="1">
      <alignment horizontal="left" vertical="center" wrapText="1"/>
    </xf>
    <xf numFmtId="0" fontId="6" fillId="2" borderId="0" xfId="0" applyFont="1" applyFill="1" applyAlignment="1">
      <alignment vertical="center" wrapText="1"/>
    </xf>
    <xf numFmtId="0" fontId="6" fillId="0" borderId="0" xfId="0" applyFont="1" applyAlignment="1">
      <alignment vertical="center" wrapText="1"/>
    </xf>
    <xf numFmtId="0" fontId="18" fillId="2" borderId="0" xfId="0" applyFont="1" applyFill="1"/>
    <xf numFmtId="0" fontId="18" fillId="0" borderId="0" xfId="0" applyFont="1"/>
    <xf numFmtId="0" fontId="20" fillId="0" borderId="0" xfId="0" applyFont="1"/>
    <xf numFmtId="0" fontId="6" fillId="0" borderId="1" xfId="0" quotePrefix="1" applyFont="1" applyBorder="1" applyAlignment="1">
      <alignment horizontal="left" vertical="top" wrapText="1"/>
    </xf>
    <xf numFmtId="0" fontId="6" fillId="0" borderId="17" xfId="0" applyFont="1" applyBorder="1" applyAlignment="1">
      <alignment horizontal="left" vertical="top" wrapText="1"/>
    </xf>
    <xf numFmtId="0" fontId="6" fillId="0" borderId="1" xfId="0" applyFont="1" applyBorder="1" applyAlignment="1">
      <alignment horizontal="left" vertical="top" wrapText="1"/>
    </xf>
    <xf numFmtId="165" fontId="6" fillId="0" borderId="1" xfId="0" applyNumberFormat="1" applyFont="1" applyBorder="1" applyAlignment="1">
      <alignment horizontal="left" vertical="top" wrapText="1"/>
    </xf>
    <xf numFmtId="0" fontId="4" fillId="0" borderId="18" xfId="0" applyFont="1" applyBorder="1" applyAlignment="1">
      <alignment horizontal="left" vertical="center" wrapText="1"/>
    </xf>
    <xf numFmtId="0" fontId="15" fillId="3" borderId="19" xfId="0" applyFont="1" applyFill="1" applyBorder="1" applyAlignment="1">
      <alignment horizontal="center" vertical="center"/>
    </xf>
    <xf numFmtId="0" fontId="4" fillId="0" borderId="8" xfId="0" applyFont="1" applyBorder="1" applyAlignment="1">
      <alignment vertical="center" wrapText="1"/>
    </xf>
    <xf numFmtId="2" fontId="6" fillId="0" borderId="1" xfId="0" applyNumberFormat="1" applyFont="1" applyBorder="1" applyAlignment="1">
      <alignment horizontal="left" vertical="top" wrapText="1"/>
    </xf>
    <xf numFmtId="2" fontId="0" fillId="0" borderId="0" xfId="0" applyNumberFormat="1"/>
    <xf numFmtId="0" fontId="22" fillId="0" borderId="1" xfId="0" applyFont="1" applyBorder="1" applyAlignment="1">
      <alignment horizontal="left" vertical="top" wrapText="1"/>
    </xf>
    <xf numFmtId="0" fontId="6" fillId="2" borderId="1" xfId="0" applyFont="1" applyFill="1" applyBorder="1" applyAlignment="1">
      <alignment wrapText="1"/>
    </xf>
    <xf numFmtId="0" fontId="6" fillId="2" borderId="5" xfId="0" applyFont="1" applyFill="1" applyBorder="1" applyAlignment="1">
      <alignment wrapText="1"/>
    </xf>
    <xf numFmtId="0" fontId="6" fillId="0" borderId="1" xfId="0" applyFont="1" applyBorder="1" applyAlignment="1">
      <alignment vertical="top" wrapText="1"/>
    </xf>
    <xf numFmtId="2" fontId="6" fillId="0" borderId="1" xfId="0" applyNumberFormat="1" applyFont="1" applyBorder="1" applyAlignment="1">
      <alignment vertical="top" wrapText="1"/>
    </xf>
    <xf numFmtId="0" fontId="6" fillId="0" borderId="20" xfId="0" applyFont="1" applyBorder="1" applyAlignment="1">
      <alignment horizontal="left" vertical="top" wrapText="1"/>
    </xf>
    <xf numFmtId="2" fontId="0" fillId="0" borderId="20" xfId="0" applyNumberFormat="1" applyBorder="1"/>
    <xf numFmtId="0" fontId="0" fillId="0" borderId="1" xfId="0" applyBorder="1"/>
    <xf numFmtId="2" fontId="4" fillId="0" borderId="1" xfId="0" applyNumberFormat="1" applyFont="1" applyBorder="1"/>
    <xf numFmtId="0" fontId="4" fillId="0" borderId="1" xfId="0" applyFont="1" applyBorder="1"/>
    <xf numFmtId="0" fontId="6" fillId="0" borderId="21" xfId="0" applyFont="1" applyBorder="1" applyAlignment="1">
      <alignment horizontal="center" vertical="top" wrapText="1"/>
    </xf>
    <xf numFmtId="0" fontId="6" fillId="0" borderId="21" xfId="0" applyFont="1" applyBorder="1" applyAlignment="1">
      <alignment horizontal="left" vertical="top" wrapText="1"/>
    </xf>
    <xf numFmtId="0" fontId="21" fillId="4" borderId="22" xfId="2" applyFont="1" applyFill="1" applyBorder="1" applyAlignment="1">
      <alignment horizontal="left" vertical="center" wrapText="1"/>
    </xf>
    <xf numFmtId="0" fontId="21" fillId="4" borderId="17" xfId="2" applyFont="1" applyFill="1" applyBorder="1" applyAlignment="1">
      <alignment horizontal="left" vertical="center" wrapText="1"/>
    </xf>
    <xf numFmtId="2" fontId="0" fillId="0" borderId="0" xfId="0" applyNumberFormat="1" applyAlignment="1">
      <alignment vertical="top"/>
    </xf>
    <xf numFmtId="2" fontId="4" fillId="0" borderId="1" xfId="0" applyNumberFormat="1" applyFont="1" applyBorder="1" applyAlignment="1">
      <alignment vertical="top"/>
    </xf>
    <xf numFmtId="0" fontId="22" fillId="0" borderId="1" xfId="0" applyFont="1" applyBorder="1" applyAlignment="1">
      <alignment vertical="top" wrapText="1"/>
    </xf>
    <xf numFmtId="2" fontId="23" fillId="0" borderId="20" xfId="0" applyNumberFormat="1" applyFont="1" applyBorder="1" applyAlignment="1">
      <alignment vertical="top"/>
    </xf>
    <xf numFmtId="0" fontId="22" fillId="0" borderId="20" xfId="0" applyFont="1" applyBorder="1" applyAlignment="1">
      <alignment horizontal="left" vertical="top" wrapText="1"/>
    </xf>
    <xf numFmtId="0" fontId="4" fillId="0" borderId="1" xfId="0" applyFont="1" applyBorder="1" applyAlignment="1">
      <alignment horizontal="left" vertical="top" wrapText="1"/>
    </xf>
    <xf numFmtId="15" fontId="4" fillId="0" borderId="6" xfId="0" applyNumberFormat="1" applyFont="1" applyBorder="1" applyAlignment="1">
      <alignment horizontal="center" vertical="center" wrapText="1"/>
    </xf>
    <xf numFmtId="2" fontId="4" fillId="5" borderId="1" xfId="0" applyNumberFormat="1" applyFont="1" applyFill="1" applyBorder="1"/>
    <xf numFmtId="164" fontId="4" fillId="0" borderId="7" xfId="0" applyNumberFormat="1" applyFont="1" applyBorder="1" applyAlignment="1">
      <alignment horizontal="center"/>
    </xf>
    <xf numFmtId="0" fontId="6" fillId="2" borderId="0" xfId="0" applyFont="1" applyFill="1" applyAlignment="1">
      <alignment wrapText="1"/>
    </xf>
    <xf numFmtId="0" fontId="6" fillId="2" borderId="33" xfId="0" applyFont="1" applyFill="1" applyBorder="1" applyAlignment="1">
      <alignment horizontal="center" wrapText="1"/>
    </xf>
    <xf numFmtId="0" fontId="21" fillId="4" borderId="22" xfId="2" applyFont="1" applyFill="1" applyBorder="1" applyAlignment="1">
      <alignment horizontal="left" vertical="center" wrapText="1"/>
    </xf>
    <xf numFmtId="0" fontId="21" fillId="4" borderId="17" xfId="2" applyFont="1" applyFill="1" applyBorder="1" applyAlignment="1">
      <alignment horizontal="left" vertical="center" wrapText="1"/>
    </xf>
    <xf numFmtId="0" fontId="6" fillId="0" borderId="22" xfId="0" applyFont="1" applyBorder="1" applyAlignment="1">
      <alignment horizontal="left" vertical="top" wrapText="1"/>
    </xf>
    <xf numFmtId="0" fontId="6" fillId="2" borderId="0" xfId="0" applyFont="1" applyFill="1" applyAlignment="1">
      <alignment horizontal="center" wrapText="1"/>
    </xf>
    <xf numFmtId="0" fontId="6" fillId="0" borderId="22" xfId="0" applyFont="1" applyBorder="1" applyAlignment="1">
      <alignment horizontal="left" vertical="top" wrapText="1"/>
    </xf>
    <xf numFmtId="0" fontId="6" fillId="2" borderId="0" xfId="0" applyFont="1" applyFill="1" applyAlignment="1">
      <alignment horizontal="center" wrapText="1"/>
    </xf>
    <xf numFmtId="0" fontId="24" fillId="0" borderId="22" xfId="4" applyBorder="1" applyAlignment="1">
      <alignment horizontal="left" vertical="top" wrapText="1"/>
    </xf>
    <xf numFmtId="14" fontId="26" fillId="0" borderId="20" xfId="0" applyNumberFormat="1" applyFont="1" applyBorder="1" applyAlignment="1">
      <alignment horizontal="left" vertical="top" wrapText="1"/>
    </xf>
    <xf numFmtId="0" fontId="26" fillId="0" borderId="20" xfId="0" applyFont="1" applyBorder="1" applyAlignment="1">
      <alignment horizontal="left" vertical="top" wrapText="1"/>
    </xf>
    <xf numFmtId="0" fontId="24" fillId="0" borderId="0" xfId="4" applyFill="1" applyBorder="1" applyAlignment="1">
      <alignment horizontal="left" vertical="top" wrapText="1"/>
    </xf>
    <xf numFmtId="0" fontId="27" fillId="4" borderId="22" xfId="2" applyFont="1" applyFill="1" applyBorder="1" applyAlignment="1">
      <alignment horizontal="left" vertical="center" wrapText="1"/>
    </xf>
    <xf numFmtId="0" fontId="4" fillId="2" borderId="23" xfId="2" applyFont="1" applyFill="1" applyBorder="1" applyAlignment="1">
      <alignment horizontal="left" wrapText="1"/>
    </xf>
    <xf numFmtId="0" fontId="4" fillId="2" borderId="24" xfId="2" applyFont="1" applyFill="1" applyBorder="1" applyAlignment="1">
      <alignment horizontal="left" wrapText="1"/>
    </xf>
    <xf numFmtId="0" fontId="15" fillId="6" borderId="35" xfId="2" applyFont="1" applyFill="1" applyBorder="1" applyAlignment="1">
      <alignment horizontal="center" vertical="center" wrapText="1"/>
    </xf>
    <xf numFmtId="0" fontId="15" fillId="6" borderId="30" xfId="2" applyFont="1" applyFill="1" applyBorder="1" applyAlignment="1">
      <alignment horizontal="center" vertical="center" wrapText="1"/>
    </xf>
    <xf numFmtId="0" fontId="25" fillId="0" borderId="20" xfId="0" applyFont="1" applyBorder="1" applyAlignment="1">
      <alignment horizontal="left" vertical="top" wrapText="1"/>
    </xf>
    <xf numFmtId="0" fontId="6" fillId="0" borderId="22" xfId="0" applyFont="1" applyBorder="1" applyAlignment="1">
      <alignment horizontal="left" vertical="top" wrapText="1"/>
    </xf>
    <xf numFmtId="0" fontId="19" fillId="7" borderId="22" xfId="0" applyFont="1" applyFill="1" applyBorder="1" applyAlignment="1">
      <alignment horizontal="left" vertical="center"/>
    </xf>
    <xf numFmtId="0" fontId="19" fillId="7" borderId="17" xfId="0" applyFont="1" applyFill="1" applyBorder="1" applyAlignment="1">
      <alignment horizontal="left" vertical="center"/>
    </xf>
    <xf numFmtId="0" fontId="21" fillId="4" borderId="20" xfId="2" applyFont="1" applyFill="1" applyBorder="1" applyAlignment="1">
      <alignment horizontal="left" vertical="center" wrapText="1"/>
    </xf>
    <xf numFmtId="0" fontId="21" fillId="4" borderId="22" xfId="2" applyFont="1" applyFill="1" applyBorder="1" applyAlignment="1">
      <alignment horizontal="left" vertical="center" wrapText="1"/>
    </xf>
    <xf numFmtId="0" fontId="21" fillId="4" borderId="17" xfId="2" applyFont="1" applyFill="1" applyBorder="1" applyAlignment="1">
      <alignment horizontal="left" vertical="center" wrapText="1"/>
    </xf>
    <xf numFmtId="0" fontId="6" fillId="0" borderId="20" xfId="0" applyFont="1" applyBorder="1" applyAlignment="1">
      <alignment horizontal="left" vertical="top" wrapText="1"/>
    </xf>
    <xf numFmtId="0" fontId="6" fillId="2" borderId="0" xfId="0" applyFont="1" applyFill="1" applyAlignment="1">
      <alignment horizontal="center" wrapText="1"/>
    </xf>
    <xf numFmtId="0" fontId="6" fillId="2" borderId="29" xfId="0" applyFont="1" applyFill="1" applyBorder="1" applyAlignment="1">
      <alignment horizontal="center"/>
    </xf>
    <xf numFmtId="0" fontId="15" fillId="6" borderId="1" xfId="2" applyFont="1" applyFill="1" applyBorder="1" applyAlignment="1">
      <alignment horizontal="center" vertical="center" wrapText="1"/>
    </xf>
    <xf numFmtId="0" fontId="15" fillId="6" borderId="30" xfId="2" applyFont="1" applyFill="1" applyBorder="1" applyAlignment="1">
      <alignment vertical="center" wrapText="1"/>
    </xf>
    <xf numFmtId="0" fontId="15" fillId="6" borderId="1" xfId="2" applyFont="1" applyFill="1" applyBorder="1" applyAlignment="1">
      <alignment vertical="center" wrapText="1"/>
    </xf>
    <xf numFmtId="0" fontId="15" fillId="6" borderId="31" xfId="2" applyFont="1" applyFill="1" applyBorder="1" applyAlignment="1">
      <alignment horizontal="center" vertical="center" wrapText="1"/>
    </xf>
    <xf numFmtId="0" fontId="15" fillId="6" borderId="0" xfId="2" applyFont="1" applyFill="1" applyAlignment="1">
      <alignment horizontal="center" vertical="center" wrapText="1"/>
    </xf>
    <xf numFmtId="0" fontId="15" fillId="6" borderId="32" xfId="2" applyFont="1" applyFill="1" applyBorder="1" applyAlignment="1">
      <alignment horizontal="center" vertical="center" wrapText="1"/>
    </xf>
    <xf numFmtId="0" fontId="15" fillId="6" borderId="27" xfId="2" applyFont="1" applyFill="1" applyBorder="1" applyAlignment="1">
      <alignment horizontal="center" vertical="center" wrapText="1"/>
    </xf>
    <xf numFmtId="0" fontId="15" fillId="6" borderId="33" xfId="2" applyFont="1" applyFill="1" applyBorder="1" applyAlignment="1">
      <alignment horizontal="center" vertical="center" wrapText="1"/>
    </xf>
    <xf numFmtId="0" fontId="15" fillId="6" borderId="34" xfId="2" applyFont="1" applyFill="1" applyBorder="1" applyAlignment="1">
      <alignment horizontal="center" vertical="center" wrapText="1"/>
    </xf>
    <xf numFmtId="0" fontId="15" fillId="6" borderId="26" xfId="2" applyFont="1" applyFill="1" applyBorder="1" applyAlignment="1">
      <alignment horizontal="center" vertical="center" wrapText="1"/>
    </xf>
    <xf numFmtId="0" fontId="5" fillId="2" borderId="0" xfId="0" applyFont="1" applyFill="1" applyAlignment="1">
      <alignment horizontal="center" wrapText="1"/>
    </xf>
    <xf numFmtId="0" fontId="5" fillId="2" borderId="28" xfId="0" applyFont="1" applyFill="1" applyBorder="1" applyAlignment="1">
      <alignment horizontal="center" wrapText="1"/>
    </xf>
    <xf numFmtId="0" fontId="4" fillId="2" borderId="20" xfId="2" applyFont="1" applyFill="1" applyBorder="1" applyAlignment="1">
      <alignment horizontal="left" vertical="top" wrapText="1"/>
    </xf>
    <xf numFmtId="0" fontId="4" fillId="2" borderId="22" xfId="2" applyFont="1" applyFill="1" applyBorder="1" applyAlignment="1">
      <alignment horizontal="left" vertical="top" wrapText="1"/>
    </xf>
    <xf numFmtId="0" fontId="4" fillId="2" borderId="25" xfId="2" applyFont="1" applyFill="1" applyBorder="1" applyAlignment="1">
      <alignment horizontal="left" vertical="top" wrapText="1"/>
    </xf>
    <xf numFmtId="0" fontId="4" fillId="2" borderId="20" xfId="2" applyFont="1" applyFill="1" applyBorder="1" applyAlignment="1">
      <alignment horizontal="left" vertical="center" wrapText="1"/>
    </xf>
    <xf numFmtId="0" fontId="4" fillId="2" borderId="22" xfId="2" applyFont="1" applyFill="1" applyBorder="1" applyAlignment="1">
      <alignment horizontal="left" vertical="center" wrapText="1"/>
    </xf>
    <xf numFmtId="0" fontId="4" fillId="2" borderId="25" xfId="2" applyFont="1" applyFill="1" applyBorder="1" applyAlignment="1">
      <alignment horizontal="left" vertical="center" wrapText="1"/>
    </xf>
    <xf numFmtId="0" fontId="6" fillId="2" borderId="0" xfId="0" applyFont="1" applyFill="1" applyAlignment="1">
      <alignment horizontal="center" vertical="center" wrapText="1"/>
    </xf>
    <xf numFmtId="0" fontId="21" fillId="4" borderId="20" xfId="2" applyFont="1" applyFill="1" applyBorder="1" applyAlignment="1">
      <alignment horizontal="left" vertical="top" wrapText="1"/>
    </xf>
    <xf numFmtId="0" fontId="21" fillId="4" borderId="22" xfId="2" applyFont="1" applyFill="1" applyBorder="1" applyAlignment="1">
      <alignment horizontal="left" vertical="top" wrapText="1"/>
    </xf>
    <xf numFmtId="0" fontId="25" fillId="0" borderId="22" xfId="0" applyFont="1" applyBorder="1" applyAlignment="1">
      <alignment horizontal="left" vertical="top" wrapText="1"/>
    </xf>
    <xf numFmtId="0" fontId="6" fillId="0" borderId="20" xfId="0" quotePrefix="1" applyFont="1" applyBorder="1" applyAlignment="1">
      <alignment horizontal="left" vertical="top" wrapText="1"/>
    </xf>
    <xf numFmtId="165" fontId="21" fillId="0" borderId="20" xfId="0" applyNumberFormat="1" applyFont="1" applyBorder="1" applyAlignment="1">
      <alignment horizontal="center" vertical="top" wrapText="1"/>
    </xf>
    <xf numFmtId="165" fontId="6" fillId="0" borderId="22" xfId="0" applyNumberFormat="1" applyFont="1" applyBorder="1" applyAlignment="1">
      <alignment horizontal="center" vertical="top" wrapText="1"/>
    </xf>
    <xf numFmtId="165" fontId="6" fillId="0" borderId="17" xfId="0" applyNumberFormat="1" applyFont="1" applyBorder="1" applyAlignment="1">
      <alignment horizontal="center" vertical="top" wrapText="1"/>
    </xf>
    <xf numFmtId="0" fontId="21" fillId="0" borderId="20" xfId="0" applyFont="1" applyBorder="1" applyAlignment="1">
      <alignment horizontal="left" vertical="top" wrapText="1"/>
    </xf>
    <xf numFmtId="0" fontId="21" fillId="4" borderId="20" xfId="2" applyFont="1" applyFill="1" applyBorder="1" applyAlignment="1">
      <alignment horizontal="center" vertical="center" wrapText="1"/>
    </xf>
    <xf numFmtId="0" fontId="21" fillId="4" borderId="22" xfId="2" applyFont="1" applyFill="1" applyBorder="1" applyAlignment="1">
      <alignment horizontal="center" vertical="center" wrapText="1"/>
    </xf>
    <xf numFmtId="0" fontId="4" fillId="0" borderId="36" xfId="0" applyFont="1" applyFill="1" applyBorder="1" applyAlignment="1">
      <alignment horizontal="center"/>
    </xf>
    <xf numFmtId="1" fontId="4" fillId="0" borderId="6" xfId="0" applyNumberFormat="1" applyFont="1" applyBorder="1" applyAlignment="1">
      <alignment horizontal="center" vertical="center" wrapText="1"/>
    </xf>
    <xf numFmtId="1" fontId="0" fillId="0" borderId="0" xfId="0" applyNumberFormat="1"/>
    <xf numFmtId="1" fontId="16" fillId="3" borderId="11" xfId="0" applyNumberFormat="1" applyFont="1" applyFill="1" applyBorder="1" applyAlignment="1">
      <alignment horizontal="center"/>
    </xf>
  </cellXfs>
  <cellStyles count="5">
    <cellStyle name="Hyperlink" xfId="4" builtinId="8"/>
    <cellStyle name="Normal" xfId="0" builtinId="0"/>
    <cellStyle name="Normal_Functional Test Case v1.0" xfId="1" xr:uid="{00000000-0005-0000-0000-000000000000}"/>
    <cellStyle name="Normal_Sheet1_Vanco_CR022a1_TestCase_v0.1" xfId="2" xr:uid="{00000000-0005-0000-0000-000001000000}"/>
    <cellStyle name="標準_結合試験(AllOvertheWorld)"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Validation"/>
    </sheetNames>
    <sheetDataSet>
      <sheetData sheetId="0" refreshError="1"/>
      <sheetData sheetId="1">
        <row r="2">
          <cell r="A2" t="str">
            <v>AFGHANISTAN</v>
          </cell>
          <cell r="B2" t="str">
            <v>MPLS Matrix</v>
          </cell>
          <cell r="C2" t="str">
            <v>MPLS, ADSL, No Contention</v>
          </cell>
        </row>
        <row r="3">
          <cell r="A3" t="str">
            <v>ALAND ISLANDS</v>
          </cell>
          <cell r="B3" t="str">
            <v>DIA</v>
          </cell>
          <cell r="C3" t="str">
            <v>MPLS, ADSL, Low Contention</v>
          </cell>
          <cell r="E3" t="str">
            <v>56Kbps</v>
          </cell>
          <cell r="F3" t="str">
            <v>56Kbps</v>
          </cell>
          <cell r="G3" t="str">
            <v>16Kbps</v>
          </cell>
          <cell r="H3" t="str">
            <v>None</v>
          </cell>
        </row>
        <row r="4">
          <cell r="A4" t="str">
            <v>ALBANIA</v>
          </cell>
          <cell r="C4" t="str">
            <v>MPLS, ADSL, Medium Contention</v>
          </cell>
          <cell r="E4" t="str">
            <v>64Kbps</v>
          </cell>
          <cell r="F4" t="str">
            <v>64Kbps</v>
          </cell>
          <cell r="G4" t="str">
            <v>32Kbps</v>
          </cell>
          <cell r="H4" t="str">
            <v>Basic</v>
          </cell>
        </row>
        <row r="5">
          <cell r="A5" t="str">
            <v>ALGERIA</v>
          </cell>
          <cell r="C5" t="str">
            <v>MPLS, ADSL, High, Contention</v>
          </cell>
          <cell r="E5" t="str">
            <v>128Kbps</v>
          </cell>
          <cell r="F5" t="str">
            <v>128Kbps</v>
          </cell>
          <cell r="G5" t="str">
            <v>48Kbps</v>
          </cell>
        </row>
        <row r="6">
          <cell r="A6" t="str">
            <v>AMERICAN SAMOA</v>
          </cell>
          <cell r="C6" t="str">
            <v>MPLS, SDSL, No Contention</v>
          </cell>
          <cell r="E6" t="str">
            <v>192Kbps</v>
          </cell>
          <cell r="F6" t="str">
            <v>192Kbps</v>
          </cell>
          <cell r="G6" t="str">
            <v>56Kbps</v>
          </cell>
        </row>
        <row r="7">
          <cell r="A7" t="str">
            <v>ANDORRA</v>
          </cell>
          <cell r="C7" t="str">
            <v>MPLS, SDSL, Low Contention</v>
          </cell>
          <cell r="E7" t="str">
            <v>256Kbps</v>
          </cell>
          <cell r="F7" t="str">
            <v>256Kbps</v>
          </cell>
          <cell r="G7" t="str">
            <v>64Kbps</v>
          </cell>
        </row>
        <row r="8">
          <cell r="A8" t="str">
            <v>ANGOLA</v>
          </cell>
          <cell r="C8" t="str">
            <v>MPLS, SDSL, Medium Contention</v>
          </cell>
          <cell r="E8" t="str">
            <v>384Kbps</v>
          </cell>
          <cell r="F8" t="str">
            <v>384Kbps</v>
          </cell>
          <cell r="G8" t="str">
            <v>96Kbps</v>
          </cell>
        </row>
        <row r="9">
          <cell r="A9" t="str">
            <v>ANGUILLA</v>
          </cell>
          <cell r="C9" t="str">
            <v>MPLS, SDSL, High Contention</v>
          </cell>
          <cell r="E9" t="str">
            <v>512Kbps</v>
          </cell>
          <cell r="F9" t="str">
            <v>512Kbps</v>
          </cell>
          <cell r="G9" t="str">
            <v>128Kbps</v>
          </cell>
        </row>
        <row r="10">
          <cell r="A10" t="str">
            <v>ANTARCTICA</v>
          </cell>
          <cell r="C10" t="str">
            <v>MPLS, Leased Line</v>
          </cell>
          <cell r="E10" t="str">
            <v>768Kbps</v>
          </cell>
          <cell r="F10" t="str">
            <v>768Kbps</v>
          </cell>
          <cell r="G10" t="str">
            <v>160Kbps</v>
          </cell>
        </row>
        <row r="11">
          <cell r="A11" t="str">
            <v>ANTIGUA AND BARBUDA</v>
          </cell>
          <cell r="C11" t="str">
            <v>MPLS, Frame Relay</v>
          </cell>
          <cell r="E11" t="str">
            <v>1Mbps</v>
          </cell>
          <cell r="F11" t="str">
            <v>1Mbps</v>
          </cell>
          <cell r="G11" t="str">
            <v>192Kbps</v>
          </cell>
        </row>
        <row r="12">
          <cell r="A12" t="str">
            <v>ARGENTINA</v>
          </cell>
          <cell r="C12" t="str">
            <v>MPLS, ATM</v>
          </cell>
          <cell r="E12" t="str">
            <v>T1</v>
          </cell>
          <cell r="F12" t="str">
            <v>1.5Mbps</v>
          </cell>
          <cell r="G12" t="str">
            <v>256Kbps</v>
          </cell>
        </row>
        <row r="13">
          <cell r="A13" t="str">
            <v>ARMENIA</v>
          </cell>
          <cell r="C13" t="str">
            <v>MPLS, Ethernet</v>
          </cell>
          <cell r="E13" t="str">
            <v>E1</v>
          </cell>
          <cell r="F13" t="str">
            <v>2Mbps</v>
          </cell>
          <cell r="G13" t="str">
            <v>320Kbps</v>
          </cell>
        </row>
        <row r="14">
          <cell r="A14" t="str">
            <v>ARUBA</v>
          </cell>
          <cell r="C14" t="str">
            <v>MPLS, Fast Ethernet</v>
          </cell>
          <cell r="E14" t="str">
            <v>2xT1</v>
          </cell>
          <cell r="F14" t="str">
            <v>3Mbps</v>
          </cell>
          <cell r="G14" t="str">
            <v>384Kbps</v>
          </cell>
        </row>
        <row r="15">
          <cell r="A15" t="str">
            <v>ASCENSION ISLAND</v>
          </cell>
          <cell r="C15" t="str">
            <v>MPLS, GigaBit Ethernet</v>
          </cell>
          <cell r="E15" t="str">
            <v>2xE1</v>
          </cell>
          <cell r="F15" t="str">
            <v>4Mbps</v>
          </cell>
          <cell r="G15" t="str">
            <v>448Kbps</v>
          </cell>
        </row>
        <row r="16">
          <cell r="A16" t="str">
            <v>AUSTRALIA</v>
          </cell>
          <cell r="C16" t="str">
            <v>MPLS, Protected Access</v>
          </cell>
          <cell r="E16" t="str">
            <v>3xT1</v>
          </cell>
          <cell r="F16" t="str">
            <v>4.5Mbps</v>
          </cell>
          <cell r="G16" t="str">
            <v>512Kbps</v>
          </cell>
        </row>
        <row r="17">
          <cell r="A17" t="str">
            <v>AUSTRIA</v>
          </cell>
          <cell r="C17" t="str">
            <v>DIA, ADSL, Business Performance, Static IP Address</v>
          </cell>
          <cell r="E17" t="str">
            <v>3xE1</v>
          </cell>
          <cell r="F17" t="str">
            <v>5Mbps</v>
          </cell>
          <cell r="G17" t="str">
            <v>768Kbps</v>
          </cell>
        </row>
        <row r="18">
          <cell r="A18" t="str">
            <v>AZERBAIJAN</v>
          </cell>
          <cell r="C18" t="str">
            <v>DIA, ADSL, Standard Performance, Static IP Address</v>
          </cell>
          <cell r="E18" t="str">
            <v>4xT1</v>
          </cell>
          <cell r="F18" t="str">
            <v>6Mbps</v>
          </cell>
          <cell r="G18" t="str">
            <v>1Mbps</v>
          </cell>
        </row>
        <row r="19">
          <cell r="A19" t="str">
            <v>BAHAMAS</v>
          </cell>
          <cell r="C19" t="str">
            <v>DIA, ADSL, Lower Performance, Dynamic IP Address</v>
          </cell>
          <cell r="E19" t="str">
            <v>4xE1</v>
          </cell>
          <cell r="F19" t="str">
            <v>8Mbps</v>
          </cell>
          <cell r="G19" t="str">
            <v>1.5Mbps</v>
          </cell>
        </row>
        <row r="20">
          <cell r="A20" t="str">
            <v>BAHRAIN</v>
          </cell>
          <cell r="C20" t="str">
            <v>DIA, ADSL, Lower Performance, Static IP Address</v>
          </cell>
          <cell r="E20" t="str">
            <v>Ethernet</v>
          </cell>
          <cell r="F20" t="str">
            <v>10Mbps</v>
          </cell>
          <cell r="G20" t="str">
            <v>2Mbps</v>
          </cell>
        </row>
        <row r="21">
          <cell r="A21" t="str">
            <v>BAKER ISLAND</v>
          </cell>
          <cell r="C21" t="str">
            <v>DIA, SDSL, Business Performance, Static IP Address</v>
          </cell>
          <cell r="E21" t="str">
            <v>E3</v>
          </cell>
          <cell r="F21" t="str">
            <v>12Mbps</v>
          </cell>
          <cell r="G21" t="str">
            <v>3Mbps</v>
          </cell>
        </row>
        <row r="22">
          <cell r="A22" t="str">
            <v>BANGLADESH</v>
          </cell>
          <cell r="C22" t="str">
            <v>DIA, SDSL, Standard Performance, Static IP Address</v>
          </cell>
          <cell r="E22" t="str">
            <v>DS3</v>
          </cell>
          <cell r="F22" t="str">
            <v>14Mbps</v>
          </cell>
          <cell r="G22" t="str">
            <v>4Mbps</v>
          </cell>
        </row>
        <row r="23">
          <cell r="A23" t="str">
            <v>BARBADOS</v>
          </cell>
          <cell r="C23" t="str">
            <v>DIA, SDSL, Lower Performance, Dynamic IP Address</v>
          </cell>
          <cell r="E23" t="str">
            <v>Fast Ethernet</v>
          </cell>
          <cell r="F23" t="str">
            <v>16Mbps</v>
          </cell>
          <cell r="G23" t="str">
            <v>4.5Mpbs</v>
          </cell>
        </row>
        <row r="24">
          <cell r="A24" t="str">
            <v>BELARUS</v>
          </cell>
          <cell r="C24" t="str">
            <v>DIA, SDSL, Lower Performance, Static IP Address</v>
          </cell>
          <cell r="E24" t="str">
            <v>STM1/OC3</v>
          </cell>
          <cell r="F24" t="str">
            <v>18Mbps</v>
          </cell>
          <cell r="G24" t="str">
            <v>5Mbps</v>
          </cell>
        </row>
        <row r="25">
          <cell r="A25" t="str">
            <v>BELGIUM</v>
          </cell>
          <cell r="C25" t="str">
            <v>DIA Leased Line</v>
          </cell>
          <cell r="E25" t="str">
            <v>Gigabit Ethernet</v>
          </cell>
          <cell r="F25" t="str">
            <v>20Mbps</v>
          </cell>
          <cell r="G25" t="str">
            <v>6Mbps</v>
          </cell>
        </row>
        <row r="26">
          <cell r="A26" t="str">
            <v>BELIZE</v>
          </cell>
          <cell r="C26" t="str">
            <v>DIA Ethernet</v>
          </cell>
          <cell r="E26" t="str">
            <v>64/128</v>
          </cell>
          <cell r="F26" t="str">
            <v>25Mbps</v>
          </cell>
          <cell r="G26" t="str">
            <v>8Mbps</v>
          </cell>
        </row>
        <row r="27">
          <cell r="A27" t="str">
            <v>BENIN</v>
          </cell>
          <cell r="C27" t="str">
            <v>DIA Fast Ethenet</v>
          </cell>
          <cell r="E27" t="str">
            <v>64/192</v>
          </cell>
          <cell r="F27" t="str">
            <v>30Mbps</v>
          </cell>
          <cell r="G27" t="str">
            <v>10Mbps</v>
          </cell>
        </row>
        <row r="28">
          <cell r="A28" t="str">
            <v>BERMUDA</v>
          </cell>
          <cell r="C28" t="str">
            <v>DIA Gigabit Ethernet</v>
          </cell>
          <cell r="E28" t="str">
            <v>64/256</v>
          </cell>
          <cell r="F28" t="str">
            <v>35Mbps</v>
          </cell>
          <cell r="G28" t="str">
            <v>12Mbps</v>
          </cell>
        </row>
        <row r="29">
          <cell r="A29" t="str">
            <v>BHUTAN</v>
          </cell>
          <cell r="C29" t="str">
            <v>DIA Protected Access</v>
          </cell>
          <cell r="E29" t="str">
            <v>64/384</v>
          </cell>
          <cell r="F29" t="str">
            <v>40Mbps</v>
          </cell>
          <cell r="G29" t="str">
            <v>14Mbps</v>
          </cell>
        </row>
        <row r="30">
          <cell r="A30" t="str">
            <v>BOLIVIA</v>
          </cell>
          <cell r="E30" t="str">
            <v>64/512</v>
          </cell>
          <cell r="F30" t="str">
            <v>45Mbps</v>
          </cell>
          <cell r="G30" t="str">
            <v>16Mbps</v>
          </cell>
        </row>
        <row r="31">
          <cell r="A31" t="str">
            <v>BOSNIA AND HERZEGOVINA</v>
          </cell>
          <cell r="E31" t="str">
            <v>64/640</v>
          </cell>
          <cell r="F31" t="str">
            <v>50Mbps</v>
          </cell>
          <cell r="G31" t="str">
            <v>18Mbps</v>
          </cell>
        </row>
        <row r="32">
          <cell r="A32" t="str">
            <v>BOTSWANA</v>
          </cell>
          <cell r="E32" t="str">
            <v>64/768</v>
          </cell>
          <cell r="F32" t="str">
            <v>60Mbps</v>
          </cell>
          <cell r="G32" t="str">
            <v>20Mbps</v>
          </cell>
        </row>
        <row r="33">
          <cell r="A33" t="str">
            <v>BOUVET ISLAND</v>
          </cell>
          <cell r="E33" t="str">
            <v>64/896</v>
          </cell>
          <cell r="F33" t="str">
            <v>70Mbps</v>
          </cell>
          <cell r="G33" t="str">
            <v>25Mbps</v>
          </cell>
        </row>
        <row r="34">
          <cell r="A34" t="str">
            <v>BRAZIL</v>
          </cell>
          <cell r="E34" t="str">
            <v>64/1024</v>
          </cell>
          <cell r="F34" t="str">
            <v>90Mbps</v>
          </cell>
          <cell r="G34" t="str">
            <v>30Mbps</v>
          </cell>
        </row>
        <row r="35">
          <cell r="A35" t="str">
            <v>BRITISH INDIAN OCEAN TERRITORY</v>
          </cell>
          <cell r="E35" t="str">
            <v>128/64</v>
          </cell>
          <cell r="F35" t="str">
            <v>100Mbps</v>
          </cell>
          <cell r="G35" t="str">
            <v>35Mbps</v>
          </cell>
        </row>
        <row r="36">
          <cell r="A36" t="str">
            <v>BRITISH VIRGIN ISLANDS</v>
          </cell>
          <cell r="E36" t="str">
            <v>128/192</v>
          </cell>
          <cell r="F36" t="str">
            <v>110Mbps</v>
          </cell>
          <cell r="G36" t="str">
            <v>40Mbps</v>
          </cell>
        </row>
        <row r="37">
          <cell r="A37" t="str">
            <v>BRUNEI</v>
          </cell>
          <cell r="E37" t="str">
            <v>128/256</v>
          </cell>
          <cell r="F37" t="str">
            <v>120Mbps</v>
          </cell>
          <cell r="G37" t="str">
            <v>45Mbps</v>
          </cell>
        </row>
        <row r="38">
          <cell r="A38" t="str">
            <v>BULGARIA</v>
          </cell>
          <cell r="E38" t="str">
            <v>128/384</v>
          </cell>
          <cell r="F38" t="str">
            <v>130Mbps</v>
          </cell>
          <cell r="G38" t="str">
            <v>50Mbps</v>
          </cell>
        </row>
        <row r="39">
          <cell r="A39" t="str">
            <v>BURKINA FASO</v>
          </cell>
          <cell r="E39" t="str">
            <v>128/512</v>
          </cell>
          <cell r="F39" t="str">
            <v>140Mbps</v>
          </cell>
          <cell r="G39" t="str">
            <v>60Mbps</v>
          </cell>
        </row>
        <row r="40">
          <cell r="A40" t="str">
            <v>BURUNDI</v>
          </cell>
          <cell r="E40" t="str">
            <v>128/640</v>
          </cell>
          <cell r="F40" t="str">
            <v>150Mbps</v>
          </cell>
          <cell r="G40" t="str">
            <v>70Mbps</v>
          </cell>
        </row>
        <row r="41">
          <cell r="A41" t="str">
            <v>CAMBODIA</v>
          </cell>
          <cell r="E41" t="str">
            <v>128/768</v>
          </cell>
          <cell r="G41" t="str">
            <v>90Mbps</v>
          </cell>
        </row>
        <row r="42">
          <cell r="A42" t="str">
            <v>CAMEROON</v>
          </cell>
          <cell r="E42" t="str">
            <v>128/896</v>
          </cell>
          <cell r="G42" t="str">
            <v>100Mbps</v>
          </cell>
        </row>
        <row r="43">
          <cell r="A43" t="str">
            <v>CANADA</v>
          </cell>
          <cell r="E43" t="str">
            <v>128/1024</v>
          </cell>
          <cell r="G43" t="str">
            <v>110Mbps</v>
          </cell>
        </row>
        <row r="44">
          <cell r="A44" t="str">
            <v>CAPE VERDE</v>
          </cell>
          <cell r="E44" t="str">
            <v>192/64</v>
          </cell>
          <cell r="G44" t="str">
            <v>120Mbps</v>
          </cell>
        </row>
        <row r="45">
          <cell r="A45" t="str">
            <v>CAYMAN ISLANDS</v>
          </cell>
          <cell r="E45" t="str">
            <v>192/128</v>
          </cell>
          <cell r="G45" t="str">
            <v>130Mbps</v>
          </cell>
        </row>
        <row r="46">
          <cell r="A46" t="str">
            <v>CENTRAL AFRICAN REPUBLIC</v>
          </cell>
          <cell r="E46" t="str">
            <v>192/192</v>
          </cell>
          <cell r="G46" t="str">
            <v>140Mbps</v>
          </cell>
        </row>
        <row r="47">
          <cell r="A47" t="str">
            <v>CHAD</v>
          </cell>
          <cell r="E47" t="str">
            <v>192/256</v>
          </cell>
          <cell r="G47" t="str">
            <v>150Mbps</v>
          </cell>
        </row>
        <row r="48">
          <cell r="A48" t="str">
            <v>CHILE</v>
          </cell>
          <cell r="E48" t="str">
            <v>192/384</v>
          </cell>
        </row>
        <row r="49">
          <cell r="A49" t="str">
            <v>CHINA</v>
          </cell>
          <cell r="E49" t="str">
            <v>192/256</v>
          </cell>
        </row>
        <row r="50">
          <cell r="A50" t="str">
            <v>CHRISTMAS ISLAND</v>
          </cell>
          <cell r="E50" t="str">
            <v>192/384</v>
          </cell>
        </row>
        <row r="51">
          <cell r="A51" t="str">
            <v>COCOS (KEELING) ISLANDS</v>
          </cell>
          <cell r="E51" t="str">
            <v>192/512</v>
          </cell>
        </row>
        <row r="52">
          <cell r="A52" t="str">
            <v>COLOMBIA</v>
          </cell>
          <cell r="E52" t="str">
            <v>192/640</v>
          </cell>
        </row>
        <row r="53">
          <cell r="A53" t="str">
            <v>COMOROS</v>
          </cell>
          <cell r="E53" t="str">
            <v>192/768</v>
          </cell>
        </row>
        <row r="54">
          <cell r="A54" t="str">
            <v>CONGO, DEM. REP.</v>
          </cell>
          <cell r="E54" t="str">
            <v>192/896</v>
          </cell>
        </row>
        <row r="55">
          <cell r="A55" t="str">
            <v>CONGO, REP.</v>
          </cell>
          <cell r="E55" t="str">
            <v>192/1024</v>
          </cell>
        </row>
        <row r="56">
          <cell r="A56" t="str">
            <v>COOK ISLANDS</v>
          </cell>
          <cell r="E56" t="str">
            <v>256/64</v>
          </cell>
        </row>
        <row r="57">
          <cell r="A57" t="str">
            <v>COSTA RICA</v>
          </cell>
          <cell r="E57" t="str">
            <v>256/128</v>
          </cell>
        </row>
        <row r="58">
          <cell r="A58" t="str">
            <v>COTE D'IVOIRE</v>
          </cell>
          <cell r="E58" t="str">
            <v>256/192</v>
          </cell>
        </row>
        <row r="59">
          <cell r="A59" t="str">
            <v>CROATIA</v>
          </cell>
          <cell r="E59" t="str">
            <v>256/384</v>
          </cell>
        </row>
        <row r="60">
          <cell r="A60" t="str">
            <v>CUBA</v>
          </cell>
          <cell r="E60" t="str">
            <v>256/512</v>
          </cell>
        </row>
        <row r="61">
          <cell r="A61" t="str">
            <v>CYPRUS</v>
          </cell>
          <cell r="E61" t="str">
            <v>256/640</v>
          </cell>
        </row>
        <row r="62">
          <cell r="A62" t="str">
            <v>CZECH REPUBLIC</v>
          </cell>
          <cell r="E62" t="str">
            <v>256/768</v>
          </cell>
        </row>
        <row r="63">
          <cell r="A63" t="str">
            <v>DENMARK</v>
          </cell>
          <cell r="E63" t="str">
            <v>256/896</v>
          </cell>
        </row>
        <row r="64">
          <cell r="A64" t="str">
            <v>DJIBOUTI</v>
          </cell>
          <cell r="E64" t="str">
            <v>256/1024</v>
          </cell>
        </row>
        <row r="65">
          <cell r="A65" t="str">
            <v>DOMINICA</v>
          </cell>
          <cell r="E65" t="str">
            <v>384/64</v>
          </cell>
        </row>
        <row r="66">
          <cell r="A66" t="str">
            <v>DOMINICAN REPUBLIC</v>
          </cell>
          <cell r="E66" t="str">
            <v>384/128</v>
          </cell>
        </row>
        <row r="67">
          <cell r="A67" t="str">
            <v>EAST TIMOR</v>
          </cell>
          <cell r="E67" t="str">
            <v>384/192</v>
          </cell>
        </row>
        <row r="68">
          <cell r="A68" t="str">
            <v>ECUADOR</v>
          </cell>
          <cell r="E68" t="str">
            <v>384/256</v>
          </cell>
        </row>
        <row r="69">
          <cell r="A69" t="str">
            <v>EGYPT</v>
          </cell>
          <cell r="E69" t="str">
            <v>384/512</v>
          </cell>
        </row>
        <row r="70">
          <cell r="A70" t="str">
            <v>EL SALVADOR</v>
          </cell>
          <cell r="E70" t="str">
            <v>384/640</v>
          </cell>
        </row>
        <row r="71">
          <cell r="A71" t="str">
            <v>EQUATORIAL GUINEA</v>
          </cell>
          <cell r="E71" t="str">
            <v>384/768</v>
          </cell>
        </row>
        <row r="72">
          <cell r="A72" t="str">
            <v>ERITREA</v>
          </cell>
          <cell r="E72" t="str">
            <v>384/896</v>
          </cell>
        </row>
        <row r="73">
          <cell r="A73" t="str">
            <v>ESTONIA</v>
          </cell>
          <cell r="E73" t="str">
            <v>384/1024</v>
          </cell>
        </row>
        <row r="74">
          <cell r="A74" t="str">
            <v>ETHIOPIA</v>
          </cell>
          <cell r="E74" t="str">
            <v>512/64</v>
          </cell>
        </row>
        <row r="75">
          <cell r="A75" t="str">
            <v>FALKLAND ISLANDS</v>
          </cell>
          <cell r="E75" t="str">
            <v>512/128</v>
          </cell>
        </row>
        <row r="76">
          <cell r="A76" t="str">
            <v>FAROE ISLANDS</v>
          </cell>
          <cell r="E76" t="str">
            <v>512/192</v>
          </cell>
        </row>
        <row r="77">
          <cell r="A77" t="str">
            <v>FIJI</v>
          </cell>
          <cell r="E77" t="str">
            <v>512/256</v>
          </cell>
        </row>
        <row r="78">
          <cell r="A78" t="str">
            <v>FINLAND</v>
          </cell>
          <cell r="E78" t="str">
            <v>512/384</v>
          </cell>
        </row>
        <row r="79">
          <cell r="A79" t="str">
            <v>FRANCE</v>
          </cell>
          <cell r="E79" t="str">
            <v>512/640</v>
          </cell>
        </row>
        <row r="80">
          <cell r="A80" t="str">
            <v>FRENCH GUIANA</v>
          </cell>
          <cell r="E80" t="str">
            <v>512/768</v>
          </cell>
        </row>
        <row r="81">
          <cell r="A81" t="str">
            <v>FRENCH POLYNESIA</v>
          </cell>
          <cell r="E81" t="str">
            <v>512/896</v>
          </cell>
        </row>
        <row r="82">
          <cell r="A82" t="str">
            <v>FRENCH SOUTHERN TERRITORIES</v>
          </cell>
          <cell r="E82" t="str">
            <v>512/1024</v>
          </cell>
        </row>
        <row r="83">
          <cell r="A83" t="str">
            <v>GABON</v>
          </cell>
          <cell r="E83" t="str">
            <v>640/64</v>
          </cell>
        </row>
        <row r="84">
          <cell r="A84" t="str">
            <v>GAMBIA, THE</v>
          </cell>
          <cell r="E84" t="str">
            <v>640/128</v>
          </cell>
        </row>
        <row r="85">
          <cell r="A85" t="str">
            <v>GEORGIA</v>
          </cell>
          <cell r="E85" t="str">
            <v>640/768</v>
          </cell>
        </row>
        <row r="86">
          <cell r="A86" t="str">
            <v>GERMANY</v>
          </cell>
          <cell r="E86" t="str">
            <v>640/896</v>
          </cell>
        </row>
        <row r="87">
          <cell r="A87" t="str">
            <v>GHANA</v>
          </cell>
          <cell r="E87" t="str">
            <v>640/1024</v>
          </cell>
        </row>
        <row r="88">
          <cell r="A88" t="str">
            <v>GIBRALTAR</v>
          </cell>
          <cell r="E88" t="str">
            <v>768/64</v>
          </cell>
        </row>
        <row r="89">
          <cell r="A89" t="str">
            <v>GREECE</v>
          </cell>
          <cell r="E89" t="str">
            <v>768/128</v>
          </cell>
        </row>
        <row r="90">
          <cell r="A90" t="str">
            <v>GREENLAND</v>
          </cell>
          <cell r="E90" t="str">
            <v>768/192</v>
          </cell>
        </row>
        <row r="91">
          <cell r="A91" t="str">
            <v>GRENADA</v>
          </cell>
          <cell r="E91" t="str">
            <v>768/256</v>
          </cell>
        </row>
        <row r="92">
          <cell r="A92" t="str">
            <v>GUADELOUPE</v>
          </cell>
          <cell r="E92" t="str">
            <v>768/384</v>
          </cell>
        </row>
        <row r="93">
          <cell r="A93" t="str">
            <v>GUAM</v>
          </cell>
          <cell r="E93" t="str">
            <v>768/512</v>
          </cell>
        </row>
        <row r="94">
          <cell r="A94" t="str">
            <v>GUATEMALA</v>
          </cell>
          <cell r="E94" t="str">
            <v>768/640</v>
          </cell>
        </row>
        <row r="95">
          <cell r="A95" t="str">
            <v>GUERNSEY</v>
          </cell>
          <cell r="E95" t="str">
            <v>768/896</v>
          </cell>
        </row>
        <row r="96">
          <cell r="A96" t="str">
            <v>GUINEA</v>
          </cell>
          <cell r="E96" t="str">
            <v>768/1024</v>
          </cell>
        </row>
        <row r="97">
          <cell r="A97" t="str">
            <v>GUINEA-BISSAU</v>
          </cell>
          <cell r="E97" t="str">
            <v>896/64</v>
          </cell>
        </row>
        <row r="98">
          <cell r="A98" t="str">
            <v>GUYANA</v>
          </cell>
          <cell r="E98" t="str">
            <v>896/128</v>
          </cell>
        </row>
        <row r="99">
          <cell r="A99" t="str">
            <v>HAITI</v>
          </cell>
          <cell r="E99" t="str">
            <v>896/192</v>
          </cell>
        </row>
        <row r="100">
          <cell r="A100" t="str">
            <v>HEARD ISLAND AND MCDONALD ISLANDS</v>
          </cell>
          <cell r="E100" t="str">
            <v>896/256</v>
          </cell>
        </row>
        <row r="101">
          <cell r="A101" t="str">
            <v>HONDURAS</v>
          </cell>
          <cell r="E101" t="str">
            <v>896/256</v>
          </cell>
        </row>
        <row r="102">
          <cell r="A102" t="str">
            <v>HONG KONG</v>
          </cell>
          <cell r="E102" t="str">
            <v>896/384</v>
          </cell>
        </row>
        <row r="103">
          <cell r="A103" t="str">
            <v>HOWLAND ISLAND</v>
          </cell>
          <cell r="E103" t="str">
            <v>896/512</v>
          </cell>
        </row>
        <row r="104">
          <cell r="A104" t="str">
            <v>HUNGARY</v>
          </cell>
          <cell r="E104" t="str">
            <v>896/640</v>
          </cell>
        </row>
        <row r="105">
          <cell r="A105" t="str">
            <v>ICELAND</v>
          </cell>
          <cell r="E105" t="str">
            <v>896/768</v>
          </cell>
        </row>
        <row r="106">
          <cell r="A106" t="str">
            <v>INDIA</v>
          </cell>
          <cell r="E106" t="str">
            <v>896/1024</v>
          </cell>
        </row>
        <row r="107">
          <cell r="A107" t="str">
            <v>INDONESIA</v>
          </cell>
          <cell r="E107" t="str">
            <v>1024/64</v>
          </cell>
        </row>
        <row r="108">
          <cell r="A108" t="str">
            <v>IRAN</v>
          </cell>
          <cell r="E108" t="str">
            <v>1024/128</v>
          </cell>
        </row>
        <row r="109">
          <cell r="A109" t="str">
            <v>IRAQ</v>
          </cell>
          <cell r="E109" t="str">
            <v>1024/192</v>
          </cell>
        </row>
        <row r="110">
          <cell r="A110" t="str">
            <v>IRELAND</v>
          </cell>
          <cell r="E110" t="str">
            <v>1024/256</v>
          </cell>
        </row>
        <row r="111">
          <cell r="A111" t="str">
            <v>ISRAEL</v>
          </cell>
          <cell r="E111" t="str">
            <v>1024/384</v>
          </cell>
        </row>
        <row r="112">
          <cell r="A112" t="str">
            <v>ITALY</v>
          </cell>
          <cell r="E112" t="str">
            <v>1024/512</v>
          </cell>
        </row>
        <row r="113">
          <cell r="A113" t="str">
            <v>JAMAICA</v>
          </cell>
          <cell r="E113" t="str">
            <v>1024/640</v>
          </cell>
        </row>
        <row r="114">
          <cell r="A114" t="str">
            <v>JAPAN</v>
          </cell>
          <cell r="E114" t="str">
            <v>1024/768</v>
          </cell>
        </row>
        <row r="115">
          <cell r="A115" t="str">
            <v>JARVIS ISLAND</v>
          </cell>
          <cell r="E115" t="str">
            <v>1024/896</v>
          </cell>
        </row>
        <row r="116">
          <cell r="A116" t="str">
            <v>JERSEY</v>
          </cell>
          <cell r="E116" t="str">
            <v>1152/64</v>
          </cell>
        </row>
        <row r="117">
          <cell r="A117" t="str">
            <v>JOHNSTON ATOLL</v>
          </cell>
          <cell r="E117" t="str">
            <v>1152/128</v>
          </cell>
        </row>
        <row r="118">
          <cell r="A118" t="str">
            <v>JORDAN</v>
          </cell>
          <cell r="E118" t="str">
            <v>1152/192</v>
          </cell>
        </row>
        <row r="119">
          <cell r="A119" t="str">
            <v>KAZAKHSTAN</v>
          </cell>
          <cell r="E119" t="str">
            <v>1152/256</v>
          </cell>
        </row>
        <row r="120">
          <cell r="A120" t="str">
            <v>KENYA</v>
          </cell>
          <cell r="E120" t="str">
            <v>1152/384</v>
          </cell>
        </row>
        <row r="121">
          <cell r="A121" t="str">
            <v>KIRIBATI</v>
          </cell>
          <cell r="E121" t="str">
            <v>1152/512</v>
          </cell>
        </row>
        <row r="122">
          <cell r="A122" t="str">
            <v>KOREA, NORTH</v>
          </cell>
          <cell r="E122" t="str">
            <v>1152/640</v>
          </cell>
        </row>
        <row r="123">
          <cell r="A123" t="str">
            <v>KOREA, SOUTH</v>
          </cell>
          <cell r="E123" t="str">
            <v>1152/768</v>
          </cell>
        </row>
        <row r="124">
          <cell r="A124" t="str">
            <v>KUWAIT</v>
          </cell>
          <cell r="E124" t="str">
            <v>1152/896</v>
          </cell>
        </row>
        <row r="125">
          <cell r="A125" t="str">
            <v>KYRGYZSTAN</v>
          </cell>
          <cell r="E125" t="str">
            <v>1152/1024</v>
          </cell>
        </row>
        <row r="126">
          <cell r="A126" t="str">
            <v>LAOS</v>
          </cell>
          <cell r="E126" t="str">
            <v>1280/64</v>
          </cell>
        </row>
        <row r="127">
          <cell r="A127" t="str">
            <v>LATVIA</v>
          </cell>
          <cell r="E127" t="str">
            <v>1280/128</v>
          </cell>
        </row>
        <row r="128">
          <cell r="A128" t="str">
            <v>LEBANON</v>
          </cell>
          <cell r="E128" t="str">
            <v>1280/192</v>
          </cell>
        </row>
        <row r="129">
          <cell r="A129" t="str">
            <v>LESOTHO</v>
          </cell>
          <cell r="E129" t="str">
            <v>1280/256</v>
          </cell>
        </row>
        <row r="130">
          <cell r="A130" t="str">
            <v>LIBERIA</v>
          </cell>
          <cell r="E130" t="str">
            <v>1280/384</v>
          </cell>
        </row>
        <row r="131">
          <cell r="A131" t="str">
            <v>LIBYA</v>
          </cell>
          <cell r="E131" t="str">
            <v>1280/512</v>
          </cell>
        </row>
        <row r="132">
          <cell r="A132" t="str">
            <v>LIECHTENSTEIN</v>
          </cell>
          <cell r="E132" t="str">
            <v>1280/640</v>
          </cell>
        </row>
        <row r="133">
          <cell r="A133" t="str">
            <v>LITHUANIA</v>
          </cell>
          <cell r="E133" t="str">
            <v>1280/768</v>
          </cell>
        </row>
        <row r="134">
          <cell r="A134" t="str">
            <v>LUXEMBOURG</v>
          </cell>
          <cell r="E134" t="str">
            <v>1280/896</v>
          </cell>
        </row>
        <row r="135">
          <cell r="A135" t="str">
            <v>MACAO</v>
          </cell>
          <cell r="E135" t="str">
            <v>1280/1024</v>
          </cell>
        </row>
        <row r="136">
          <cell r="A136" t="str">
            <v>MACEDONIA</v>
          </cell>
          <cell r="E136" t="str">
            <v>1408/64</v>
          </cell>
        </row>
        <row r="137">
          <cell r="A137" t="str">
            <v>MADAGASCAR</v>
          </cell>
          <cell r="E137" t="str">
            <v>1408/128</v>
          </cell>
        </row>
        <row r="138">
          <cell r="A138" t="str">
            <v>MALAWI</v>
          </cell>
          <cell r="E138" t="str">
            <v>1408/192</v>
          </cell>
        </row>
        <row r="139">
          <cell r="A139" t="str">
            <v>MALAYSIA</v>
          </cell>
          <cell r="E139" t="str">
            <v>1408/256</v>
          </cell>
        </row>
        <row r="140">
          <cell r="A140" t="str">
            <v>MALDIVES</v>
          </cell>
          <cell r="E140" t="str">
            <v>1408/384</v>
          </cell>
        </row>
        <row r="141">
          <cell r="A141" t="str">
            <v>MALI</v>
          </cell>
          <cell r="E141" t="str">
            <v>1408/512</v>
          </cell>
        </row>
        <row r="142">
          <cell r="A142" t="str">
            <v>MALTA</v>
          </cell>
          <cell r="E142" t="str">
            <v>1408/640</v>
          </cell>
        </row>
        <row r="143">
          <cell r="A143" t="str">
            <v>MANN</v>
          </cell>
          <cell r="E143" t="str">
            <v>1408/768</v>
          </cell>
        </row>
        <row r="144">
          <cell r="A144" t="str">
            <v>MARSHALL ISLANDS</v>
          </cell>
          <cell r="E144" t="str">
            <v>1408/896</v>
          </cell>
        </row>
        <row r="145">
          <cell r="A145" t="str">
            <v>MARTINIQUE</v>
          </cell>
          <cell r="E145" t="str">
            <v>1408/1024</v>
          </cell>
        </row>
        <row r="146">
          <cell r="A146" t="str">
            <v>MAURITANIA</v>
          </cell>
          <cell r="E146" t="str">
            <v>1536/64</v>
          </cell>
        </row>
        <row r="147">
          <cell r="A147" t="str">
            <v>MAURITIUS</v>
          </cell>
          <cell r="E147" t="str">
            <v>1536/128</v>
          </cell>
        </row>
        <row r="148">
          <cell r="A148" t="str">
            <v>MAYOTTE</v>
          </cell>
          <cell r="E148" t="str">
            <v>1536/192</v>
          </cell>
        </row>
        <row r="149">
          <cell r="A149" t="str">
            <v>MEXICO</v>
          </cell>
          <cell r="E149" t="str">
            <v>1536/256</v>
          </cell>
        </row>
        <row r="150">
          <cell r="A150" t="str">
            <v>MICRONESIA</v>
          </cell>
          <cell r="E150" t="str">
            <v>1536/384</v>
          </cell>
        </row>
        <row r="151">
          <cell r="A151" t="str">
            <v>MIDWAY ISLAND</v>
          </cell>
          <cell r="E151" t="str">
            <v>1536/512</v>
          </cell>
        </row>
        <row r="152">
          <cell r="A152" t="str">
            <v>MOLDOVA</v>
          </cell>
          <cell r="E152" t="str">
            <v>1536/640</v>
          </cell>
        </row>
        <row r="153">
          <cell r="A153" t="str">
            <v>MONACO</v>
          </cell>
          <cell r="E153" t="str">
            <v>1536/768</v>
          </cell>
        </row>
        <row r="154">
          <cell r="A154" t="str">
            <v>MONGOLIA</v>
          </cell>
          <cell r="E154" t="str">
            <v>1536/896</v>
          </cell>
        </row>
        <row r="155">
          <cell r="A155" t="str">
            <v>MONTSERRAT</v>
          </cell>
          <cell r="E155" t="str">
            <v>1536/1024</v>
          </cell>
        </row>
        <row r="156">
          <cell r="A156" t="str">
            <v>MOROCCO</v>
          </cell>
          <cell r="E156" t="str">
            <v>1664/64</v>
          </cell>
        </row>
        <row r="157">
          <cell r="A157" t="str">
            <v>MOZAMBIQUE</v>
          </cell>
          <cell r="E157" t="str">
            <v>1664/128</v>
          </cell>
        </row>
        <row r="158">
          <cell r="A158" t="str">
            <v>MYANMAR</v>
          </cell>
          <cell r="E158" t="str">
            <v>1664/192</v>
          </cell>
        </row>
        <row r="159">
          <cell r="A159" t="str">
            <v>NAMIBIA</v>
          </cell>
          <cell r="E159" t="str">
            <v>1664/256</v>
          </cell>
        </row>
        <row r="160">
          <cell r="A160" t="str">
            <v>NAURU</v>
          </cell>
          <cell r="E160" t="str">
            <v>1664/384</v>
          </cell>
        </row>
        <row r="161">
          <cell r="A161" t="str">
            <v>NAVASSA ISLAND</v>
          </cell>
          <cell r="E161" t="str">
            <v>1664/512</v>
          </cell>
        </row>
        <row r="162">
          <cell r="A162" t="str">
            <v>NEPAL</v>
          </cell>
          <cell r="E162" t="str">
            <v>1664/640</v>
          </cell>
        </row>
        <row r="163">
          <cell r="A163" t="str">
            <v>NETHERLANDS</v>
          </cell>
          <cell r="E163" t="str">
            <v>1664/768</v>
          </cell>
        </row>
        <row r="164">
          <cell r="A164" t="str">
            <v>NETHERLANDS ANTILLES</v>
          </cell>
          <cell r="E164" t="str">
            <v>1664/896</v>
          </cell>
        </row>
        <row r="165">
          <cell r="A165" t="str">
            <v>NEW CALEDONIA</v>
          </cell>
          <cell r="E165" t="str">
            <v>1664/1024</v>
          </cell>
        </row>
        <row r="166">
          <cell r="A166" t="str">
            <v>NEW ZEALAND</v>
          </cell>
          <cell r="E166" t="str">
            <v>1792/64</v>
          </cell>
        </row>
        <row r="167">
          <cell r="A167" t="str">
            <v>NICARAGUA</v>
          </cell>
          <cell r="E167" t="str">
            <v>1792/128</v>
          </cell>
        </row>
        <row r="168">
          <cell r="A168" t="str">
            <v>NIGER</v>
          </cell>
          <cell r="E168" t="str">
            <v>1792/192</v>
          </cell>
        </row>
        <row r="169">
          <cell r="A169" t="str">
            <v>NIGERIA</v>
          </cell>
          <cell r="E169" t="str">
            <v>1792/256</v>
          </cell>
        </row>
        <row r="170">
          <cell r="A170" t="str">
            <v>NIUE</v>
          </cell>
          <cell r="E170" t="str">
            <v>1792/384</v>
          </cell>
        </row>
        <row r="171">
          <cell r="A171" t="str">
            <v>NORFOLK ISLAND</v>
          </cell>
          <cell r="E171" t="str">
            <v>1792/512</v>
          </cell>
        </row>
        <row r="172">
          <cell r="A172" t="str">
            <v>NORTHERN MARIANA ISLANDS</v>
          </cell>
          <cell r="E172" t="str">
            <v>1792/640</v>
          </cell>
        </row>
        <row r="173">
          <cell r="A173" t="str">
            <v>NORWAY</v>
          </cell>
          <cell r="E173" t="str">
            <v>1792/768</v>
          </cell>
        </row>
        <row r="174">
          <cell r="A174" t="str">
            <v>OMAN</v>
          </cell>
          <cell r="E174" t="str">
            <v>1792/896</v>
          </cell>
        </row>
        <row r="175">
          <cell r="A175" t="str">
            <v>PAKISTAN</v>
          </cell>
          <cell r="E175" t="str">
            <v>1792/1024</v>
          </cell>
        </row>
        <row r="176">
          <cell r="A176" t="str">
            <v>PALAU</v>
          </cell>
          <cell r="E176" t="str">
            <v>1920/64</v>
          </cell>
        </row>
        <row r="177">
          <cell r="A177" t="str">
            <v>PALESTINIAN TERRITORY</v>
          </cell>
          <cell r="E177" t="str">
            <v xml:space="preserve">1920/128 </v>
          </cell>
        </row>
        <row r="178">
          <cell r="A178" t="str">
            <v>PALMYRA ATOLL</v>
          </cell>
          <cell r="E178" t="str">
            <v>1920/192</v>
          </cell>
        </row>
        <row r="179">
          <cell r="A179" t="str">
            <v>PANAMA</v>
          </cell>
          <cell r="E179" t="str">
            <v>1920/256</v>
          </cell>
        </row>
        <row r="180">
          <cell r="A180" t="str">
            <v>PAPUA NEW GUINEA</v>
          </cell>
          <cell r="E180" t="str">
            <v>1920/384</v>
          </cell>
        </row>
        <row r="181">
          <cell r="A181" t="str">
            <v>PARAGUAY</v>
          </cell>
          <cell r="E181" t="str">
            <v>1920/512</v>
          </cell>
        </row>
        <row r="182">
          <cell r="A182" t="str">
            <v>PERU</v>
          </cell>
          <cell r="E182" t="str">
            <v>1920/640</v>
          </cell>
        </row>
        <row r="183">
          <cell r="A183" t="str">
            <v>PHILIPPINES</v>
          </cell>
          <cell r="E183" t="str">
            <v>1920/768</v>
          </cell>
        </row>
        <row r="184">
          <cell r="A184" t="str">
            <v>PITCAIRN</v>
          </cell>
          <cell r="E184" t="str">
            <v>1920/896</v>
          </cell>
        </row>
        <row r="185">
          <cell r="A185" t="str">
            <v>POLAND</v>
          </cell>
          <cell r="E185" t="str">
            <v>1920/1024</v>
          </cell>
        </row>
        <row r="186">
          <cell r="A186" t="str">
            <v>PORTUGAL</v>
          </cell>
          <cell r="E186" t="str">
            <v>2048/64</v>
          </cell>
        </row>
        <row r="187">
          <cell r="A187" t="str">
            <v>PUERTO RICO</v>
          </cell>
          <cell r="E187" t="str">
            <v>2048/128</v>
          </cell>
        </row>
        <row r="188">
          <cell r="A188" t="str">
            <v>QATAR</v>
          </cell>
          <cell r="E188" t="str">
            <v>2048/192</v>
          </cell>
        </row>
        <row r="189">
          <cell r="A189" t="str">
            <v>REUNION</v>
          </cell>
          <cell r="E189" t="str">
            <v>2048/256</v>
          </cell>
        </row>
        <row r="190">
          <cell r="A190" t="str">
            <v>ROMANIA</v>
          </cell>
          <cell r="E190" t="str">
            <v>2048/384</v>
          </cell>
        </row>
        <row r="191">
          <cell r="A191" t="str">
            <v>RUSSIAN FEDERATION</v>
          </cell>
          <cell r="E191" t="str">
            <v>2048/512</v>
          </cell>
        </row>
        <row r="192">
          <cell r="A192" t="str">
            <v>RWANDA</v>
          </cell>
          <cell r="E192" t="str">
            <v>2048/640</v>
          </cell>
        </row>
        <row r="193">
          <cell r="A193" t="str">
            <v>SAINT HELENA</v>
          </cell>
          <cell r="E193" t="str">
            <v>2048/768</v>
          </cell>
        </row>
        <row r="194">
          <cell r="A194" t="str">
            <v>SAINT KITTS AND NEVIS</v>
          </cell>
          <cell r="E194" t="str">
            <v>2048/896</v>
          </cell>
        </row>
        <row r="195">
          <cell r="A195" t="str">
            <v>SAINT LUCIA</v>
          </cell>
          <cell r="E195" t="str">
            <v>2048/1024</v>
          </cell>
        </row>
        <row r="196">
          <cell r="A196" t="str">
            <v>SAINT PIERRE AND MIQUELON</v>
          </cell>
          <cell r="E196" t="str">
            <v>3072/64</v>
          </cell>
        </row>
        <row r="197">
          <cell r="A197" t="str">
            <v>SAINT VINCENT AND THE GRENADINES</v>
          </cell>
          <cell r="E197" t="str">
            <v>3072/128</v>
          </cell>
        </row>
        <row r="198">
          <cell r="A198" t="str">
            <v>SAMOA</v>
          </cell>
          <cell r="E198" t="str">
            <v>3072/192</v>
          </cell>
        </row>
        <row r="199">
          <cell r="A199" t="str">
            <v>SAN MARINO</v>
          </cell>
          <cell r="E199" t="str">
            <v>3072/256</v>
          </cell>
        </row>
        <row r="200">
          <cell r="A200" t="str">
            <v>SAO TOME AND PRINCIPE</v>
          </cell>
          <cell r="E200" t="str">
            <v>3072/384</v>
          </cell>
        </row>
        <row r="201">
          <cell r="A201" t="str">
            <v>SAUDI ARABIA</v>
          </cell>
          <cell r="E201" t="str">
            <v>3072/512</v>
          </cell>
        </row>
        <row r="202">
          <cell r="A202" t="str">
            <v>SENEGAL</v>
          </cell>
          <cell r="E202" t="str">
            <v>3072/640</v>
          </cell>
        </row>
        <row r="203">
          <cell r="A203" t="str">
            <v>SERBIA AND MONTENEGRO</v>
          </cell>
          <cell r="E203" t="str">
            <v>3072/768</v>
          </cell>
        </row>
        <row r="204">
          <cell r="A204" t="str">
            <v>SEYCHELLES</v>
          </cell>
          <cell r="E204" t="str">
            <v>3072/896</v>
          </cell>
        </row>
        <row r="205">
          <cell r="A205" t="str">
            <v>SIERRA LEONE</v>
          </cell>
          <cell r="E205" t="str">
            <v>3072/1024</v>
          </cell>
        </row>
        <row r="206">
          <cell r="A206" t="str">
            <v>SINGAPORE</v>
          </cell>
          <cell r="E206" t="str">
            <v>4096/64</v>
          </cell>
        </row>
        <row r="207">
          <cell r="A207" t="str">
            <v>SLOVAKIA</v>
          </cell>
          <cell r="E207" t="str">
            <v>4096/128</v>
          </cell>
        </row>
        <row r="208">
          <cell r="A208" t="str">
            <v>SLOVENIA</v>
          </cell>
          <cell r="E208" t="str">
            <v>4096/192</v>
          </cell>
        </row>
        <row r="209">
          <cell r="A209" t="str">
            <v>SOLOMON ISLANDS</v>
          </cell>
          <cell r="E209" t="str">
            <v>4096/256</v>
          </cell>
        </row>
        <row r="210">
          <cell r="A210" t="str">
            <v>SOMALIA</v>
          </cell>
          <cell r="E210" t="str">
            <v>4096/384</v>
          </cell>
        </row>
        <row r="211">
          <cell r="A211" t="str">
            <v>SOUTH AFRICA</v>
          </cell>
          <cell r="E211" t="str">
            <v>4096/512</v>
          </cell>
        </row>
        <row r="212">
          <cell r="A212" t="str">
            <v>SOUTH GEORGIA AND THE SOUTH SANDWICH ISLANDS</v>
          </cell>
          <cell r="E212" t="str">
            <v>4096/640</v>
          </cell>
        </row>
        <row r="213">
          <cell r="A213" t="str">
            <v>SPAIN</v>
          </cell>
          <cell r="E213" t="str">
            <v>4096/768</v>
          </cell>
        </row>
        <row r="214">
          <cell r="A214" t="str">
            <v>SPRATLY ISLANDS</v>
          </cell>
          <cell r="E214" t="str">
            <v>4096/896</v>
          </cell>
        </row>
        <row r="215">
          <cell r="A215" t="str">
            <v>SRI LANKA</v>
          </cell>
          <cell r="E215" t="str">
            <v>4096/1024</v>
          </cell>
        </row>
        <row r="216">
          <cell r="A216" t="str">
            <v>SUDAN</v>
          </cell>
          <cell r="E216" t="str">
            <v>64/64</v>
          </cell>
        </row>
        <row r="217">
          <cell r="A217" t="str">
            <v>SURINAME</v>
          </cell>
          <cell r="E217" t="str">
            <v>128/128</v>
          </cell>
        </row>
        <row r="218">
          <cell r="A218" t="str">
            <v>SVALBARD AND JAN MAYEN</v>
          </cell>
          <cell r="E218" t="str">
            <v>256/256</v>
          </cell>
        </row>
        <row r="219">
          <cell r="A219" t="str">
            <v>SWAZILAND</v>
          </cell>
          <cell r="E219" t="str">
            <v>384/384</v>
          </cell>
        </row>
        <row r="220">
          <cell r="A220" t="str">
            <v>SWEDEN</v>
          </cell>
          <cell r="E220" t="str">
            <v>512/512</v>
          </cell>
        </row>
        <row r="221">
          <cell r="A221" t="str">
            <v>SWITZERLAND</v>
          </cell>
          <cell r="E221" t="str">
            <v>768/768</v>
          </cell>
        </row>
        <row r="222">
          <cell r="A222" t="str">
            <v>SYRIA</v>
          </cell>
          <cell r="E222" t="str">
            <v>896/896</v>
          </cell>
        </row>
        <row r="223">
          <cell r="A223" t="str">
            <v>TAIWAN</v>
          </cell>
          <cell r="E223" t="str">
            <v>1024/1024</v>
          </cell>
        </row>
        <row r="224">
          <cell r="A224" t="str">
            <v>TAJIKISTAN</v>
          </cell>
        </row>
        <row r="225">
          <cell r="A225" t="str">
            <v>TANZANIA</v>
          </cell>
        </row>
        <row r="226">
          <cell r="A226" t="str">
            <v>THAILAND</v>
          </cell>
        </row>
        <row r="227">
          <cell r="A227" t="str">
            <v>TOGO</v>
          </cell>
        </row>
        <row r="228">
          <cell r="A228" t="str">
            <v>TOKELAU</v>
          </cell>
        </row>
        <row r="229">
          <cell r="A229" t="str">
            <v>TONGA</v>
          </cell>
        </row>
        <row r="230">
          <cell r="A230" t="str">
            <v>TRINIDAD AND TOBAGO</v>
          </cell>
        </row>
        <row r="231">
          <cell r="A231" t="str">
            <v>TRISTAN DA CUNHA</v>
          </cell>
        </row>
        <row r="232">
          <cell r="A232" t="str">
            <v>TROMELIN ISLAND</v>
          </cell>
        </row>
        <row r="233">
          <cell r="A233" t="str">
            <v>TUNISIA</v>
          </cell>
        </row>
        <row r="234">
          <cell r="A234" t="str">
            <v>TURKEY</v>
          </cell>
        </row>
        <row r="235">
          <cell r="A235" t="str">
            <v>TURKMENISTAN</v>
          </cell>
        </row>
        <row r="236">
          <cell r="A236" t="str">
            <v>TURKS AND CAICOS ISLANDS</v>
          </cell>
        </row>
        <row r="237">
          <cell r="A237" t="str">
            <v>TUVALU</v>
          </cell>
        </row>
        <row r="238">
          <cell r="A238" t="str">
            <v>UGANDA</v>
          </cell>
        </row>
        <row r="239">
          <cell r="A239" t="str">
            <v>UKRAINE</v>
          </cell>
        </row>
        <row r="240">
          <cell r="A240" t="str">
            <v>UNITED ARAB EMIRATES</v>
          </cell>
        </row>
        <row r="241">
          <cell r="A241" t="str">
            <v>UNITED KINGDOM</v>
          </cell>
        </row>
        <row r="242">
          <cell r="A242" t="str">
            <v>UNITED STATES</v>
          </cell>
        </row>
        <row r="243">
          <cell r="A243" t="str">
            <v>URUGUAY</v>
          </cell>
        </row>
        <row r="244">
          <cell r="A244" t="str">
            <v>US VIRGIN ISLANDS</v>
          </cell>
        </row>
        <row r="245">
          <cell r="A245" t="str">
            <v>UZBEKISTAN</v>
          </cell>
        </row>
        <row r="246">
          <cell r="A246" t="str">
            <v>VANUATU</v>
          </cell>
        </row>
        <row r="247">
          <cell r="A247" t="str">
            <v>VATICAN CITY</v>
          </cell>
        </row>
        <row r="248">
          <cell r="A248" t="str">
            <v>VENEZUELA</v>
          </cell>
        </row>
        <row r="249">
          <cell r="A249" t="str">
            <v>VIETNAM</v>
          </cell>
        </row>
        <row r="250">
          <cell r="A250" t="str">
            <v>WAKE ISLAND</v>
          </cell>
        </row>
        <row r="251">
          <cell r="A251" t="str">
            <v>WALLIS AND FUTUNA</v>
          </cell>
        </row>
        <row r="252">
          <cell r="A252" t="str">
            <v>WESTERN SAHARA</v>
          </cell>
        </row>
        <row r="253">
          <cell r="A253" t="str">
            <v>YEMEN</v>
          </cell>
        </row>
        <row r="254">
          <cell r="A254" t="str">
            <v>ZAMBIA</v>
          </cell>
        </row>
        <row r="255">
          <cell r="A255" t="str">
            <v>ZIMBABWE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Email=user@example.com;%20Password=Pass123" TargetMode="External"/><Relationship Id="rId2" Type="http://schemas.openxmlformats.org/officeDocument/2006/relationships/hyperlink" Target="mailto:Email=existing@example.com;%20Password=Pass1234" TargetMode="External"/><Relationship Id="rId1" Type="http://schemas.openxmlformats.org/officeDocument/2006/relationships/hyperlink" Target="mailto:Email=user@example.com;%20Password=Pass123"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Email=user2@example.com;%20Password=Pass123" TargetMode="External"/><Relationship Id="rId2" Type="http://schemas.openxmlformats.org/officeDocument/2006/relationships/hyperlink" Target="mailto:Email=user@example.com;%20Password=Pass123" TargetMode="External"/><Relationship Id="rId1" Type="http://schemas.openxmlformats.org/officeDocument/2006/relationships/hyperlink" Target="mailto:Email=user@example.com;%20Password=Pass123"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23"/>
  <sheetViews>
    <sheetView showGridLines="0" topLeftCell="B4" zoomScale="160" zoomScaleNormal="160" workbookViewId="0">
      <selection activeCell="D8" sqref="D8"/>
    </sheetView>
  </sheetViews>
  <sheetFormatPr defaultColWidth="9" defaultRowHeight="13.8"/>
  <cols>
    <col min="1" max="1" width="9" style="1"/>
    <col min="2" max="2" width="14.21875" style="1" customWidth="1"/>
    <col min="3" max="3" width="9" style="1"/>
    <col min="4" max="4" width="24.33203125" style="1" customWidth="1"/>
    <col min="5" max="5" width="32.44140625" style="1" customWidth="1"/>
    <col min="6" max="6" width="23.88671875" style="1" customWidth="1"/>
    <col min="7" max="7" width="20.44140625" style="1" customWidth="1"/>
    <col min="8" max="8" width="26.77734375" style="1" customWidth="1"/>
    <col min="9" max="16384" width="9" style="1"/>
  </cols>
  <sheetData>
    <row r="2" spans="1:8" ht="22.2">
      <c r="A2" s="25"/>
      <c r="B2" s="26" t="s">
        <v>22</v>
      </c>
      <c r="C2" s="25"/>
      <c r="D2" s="25"/>
      <c r="E2" s="25"/>
      <c r="F2" s="25"/>
      <c r="G2" s="25"/>
    </row>
    <row r="3" spans="1:8">
      <c r="A3" s="25"/>
      <c r="B3" s="27" t="s">
        <v>51</v>
      </c>
      <c r="C3" s="57">
        <v>1.2</v>
      </c>
      <c r="D3" s="28"/>
      <c r="E3" s="25"/>
      <c r="F3" s="25"/>
      <c r="G3" s="25"/>
    </row>
    <row r="4" spans="1:8">
      <c r="A4" s="25"/>
      <c r="B4" s="27" t="s">
        <v>33</v>
      </c>
      <c r="C4" s="11">
        <v>45967</v>
      </c>
      <c r="D4" s="11"/>
      <c r="E4" s="25"/>
      <c r="F4" s="25"/>
      <c r="G4" s="25"/>
    </row>
    <row r="5" spans="1:8" ht="14.4" thickBot="1">
      <c r="A5" s="25"/>
      <c r="B5" s="27"/>
      <c r="C5" s="28"/>
      <c r="D5" s="28"/>
      <c r="E5" s="25"/>
      <c r="F5" s="25"/>
      <c r="G5" s="25"/>
    </row>
    <row r="6" spans="1:8" ht="14.25" customHeight="1" thickBot="1">
      <c r="A6" s="25"/>
      <c r="B6" s="27" t="s">
        <v>52</v>
      </c>
      <c r="C6" s="121" t="s">
        <v>183</v>
      </c>
      <c r="D6" s="121"/>
      <c r="E6" s="122"/>
      <c r="F6" s="25"/>
      <c r="G6" s="25"/>
    </row>
    <row r="7" spans="1:8">
      <c r="A7" s="25"/>
      <c r="B7" s="27" t="s">
        <v>53</v>
      </c>
      <c r="C7" s="121" t="s">
        <v>184</v>
      </c>
      <c r="D7" s="121"/>
      <c r="E7" s="122"/>
      <c r="F7" s="25"/>
      <c r="G7" s="25"/>
    </row>
    <row r="8" spans="1:8">
      <c r="A8" s="25"/>
      <c r="B8" s="27"/>
      <c r="C8" s="25"/>
      <c r="D8" s="25"/>
      <c r="E8" s="25"/>
      <c r="F8" s="25"/>
      <c r="G8" s="25"/>
    </row>
    <row r="9" spans="1:8">
      <c r="A9" s="25"/>
      <c r="B9" s="19"/>
      <c r="C9" s="19"/>
      <c r="D9" s="19"/>
      <c r="E9" s="19"/>
      <c r="F9" s="25"/>
      <c r="G9" s="25"/>
    </row>
    <row r="10" spans="1:8">
      <c r="B10" s="5" t="s">
        <v>42</v>
      </c>
    </row>
    <row r="11" spans="1:8" s="31" customFormat="1" ht="26.4">
      <c r="B11" s="47" t="s">
        <v>29</v>
      </c>
      <c r="C11" s="48" t="s">
        <v>43</v>
      </c>
      <c r="D11" s="48" t="s">
        <v>25</v>
      </c>
      <c r="E11" s="48" t="s">
        <v>26</v>
      </c>
      <c r="F11" s="48" t="s">
        <v>32</v>
      </c>
      <c r="G11" s="49" t="s">
        <v>31</v>
      </c>
      <c r="H11" s="81" t="s">
        <v>44</v>
      </c>
    </row>
    <row r="12" spans="1:8" s="31" customFormat="1">
      <c r="B12" s="33">
        <v>45967</v>
      </c>
      <c r="C12" s="34" t="s">
        <v>58</v>
      </c>
      <c r="D12" s="35" t="s">
        <v>347</v>
      </c>
      <c r="E12" s="36" t="s">
        <v>30</v>
      </c>
      <c r="F12" s="69" t="s">
        <v>185</v>
      </c>
      <c r="G12" s="80" t="s">
        <v>185</v>
      </c>
      <c r="H12" s="82" t="s">
        <v>186</v>
      </c>
    </row>
    <row r="13" spans="1:8" s="31" customFormat="1">
      <c r="B13" s="107"/>
      <c r="C13" s="34"/>
      <c r="D13" s="35"/>
      <c r="E13" s="36"/>
      <c r="F13" s="69"/>
      <c r="G13" s="105"/>
      <c r="H13" s="82"/>
    </row>
    <row r="14" spans="1:8" s="32" customFormat="1" ht="13.2">
      <c r="B14" s="33"/>
      <c r="C14" s="34"/>
      <c r="D14" s="35"/>
      <c r="E14" s="36"/>
      <c r="F14" s="69"/>
      <c r="G14" s="105"/>
      <c r="H14" s="82"/>
    </row>
    <row r="15" spans="1:8" s="32" customFormat="1" ht="13.2">
      <c r="B15" s="40"/>
      <c r="C15" s="41"/>
      <c r="D15" s="38"/>
      <c r="E15" s="38"/>
      <c r="F15" s="38"/>
      <c r="G15" s="38"/>
      <c r="H15" s="39"/>
    </row>
    <row r="16" spans="1:8" s="31" customFormat="1">
      <c r="B16" s="33"/>
      <c r="C16" s="37"/>
      <c r="D16" s="35"/>
      <c r="E16" s="38"/>
      <c r="F16" s="38"/>
      <c r="G16" s="38"/>
      <c r="H16" s="42"/>
    </row>
    <row r="17" spans="2:8" s="31" customFormat="1">
      <c r="B17" s="40"/>
      <c r="C17" s="41"/>
      <c r="D17" s="38"/>
      <c r="E17" s="38"/>
      <c r="F17" s="38"/>
      <c r="G17" s="38"/>
      <c r="H17" s="39"/>
    </row>
    <row r="18" spans="2:8" s="31" customFormat="1">
      <c r="B18" s="40"/>
      <c r="C18" s="41"/>
      <c r="D18" s="38"/>
      <c r="E18" s="38"/>
      <c r="F18" s="38"/>
      <c r="G18" s="38"/>
      <c r="H18" s="39"/>
    </row>
    <row r="19" spans="2:8" s="31" customFormat="1">
      <c r="B19" s="40"/>
      <c r="C19" s="41"/>
      <c r="D19" s="38"/>
      <c r="E19" s="38"/>
      <c r="F19" s="38"/>
      <c r="G19" s="38"/>
      <c r="H19" s="39"/>
    </row>
    <row r="20" spans="2:8" s="31" customFormat="1">
      <c r="B20" s="40"/>
      <c r="C20" s="41"/>
      <c r="D20" s="38"/>
      <c r="E20" s="38"/>
      <c r="F20" s="38"/>
      <c r="G20" s="38"/>
      <c r="H20" s="39"/>
    </row>
    <row r="21" spans="2:8" s="31" customFormat="1">
      <c r="B21" s="40"/>
      <c r="C21" s="41"/>
      <c r="D21" s="38"/>
      <c r="E21" s="38"/>
      <c r="F21" s="38"/>
      <c r="G21" s="38"/>
      <c r="H21" s="39"/>
    </row>
    <row r="22" spans="2:8" s="31" customFormat="1">
      <c r="B22" s="40"/>
      <c r="C22" s="41"/>
      <c r="D22" s="38"/>
      <c r="E22" s="38"/>
      <c r="F22" s="38"/>
      <c r="G22" s="38"/>
      <c r="H22" s="39"/>
    </row>
    <row r="23" spans="2:8" s="31" customFormat="1">
      <c r="B23" s="43"/>
      <c r="C23" s="44"/>
      <c r="D23" s="45"/>
      <c r="E23" s="45"/>
      <c r="F23" s="45"/>
      <c r="G23" s="45"/>
      <c r="H23" s="46"/>
    </row>
  </sheetData>
  <mergeCells count="2">
    <mergeCell ref="C6:E6"/>
    <mergeCell ref="C7:E7"/>
  </mergeCells>
  <phoneticPr fontId="0"/>
  <pageMargins left="0.37" right="0.47" top="0.5" bottom="0.38" header="0.5" footer="0.17"/>
  <pageSetup paperSize="9" orientation="landscape" horizontalDpi="96" verticalDpi="96" r:id="rId1"/>
  <headerFooter alignWithMargins="0">
    <oddFooter>&amp;L&amp;"Tahoma,Regular"&amp;8 02ae-BM/PM/HDCV/FSOFT v1/0&amp;R&amp;"Tahoma,Regular"&amp;10&amp;P/&amp;N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EC6C-685F-4C8E-82D2-71D53D293986}">
  <sheetPr>
    <outlinePr summaryBelow="0" summaryRight="0"/>
  </sheetPr>
  <dimension ref="A1:P100"/>
  <sheetViews>
    <sheetView zoomScale="130" zoomScaleNormal="130" workbookViewId="0">
      <selection activeCell="B4" sqref="B4:D4"/>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26.5546875" customWidth="1"/>
    <col min="9" max="9" width="24.77734375" customWidth="1"/>
    <col min="10" max="10" width="17.21875" customWidth="1"/>
    <col min="11" max="11" width="8.88671875" style="94"/>
    <col min="12" max="12" width="27" style="92" customWidth="1"/>
  </cols>
  <sheetData>
    <row r="1" spans="1:13" s="2" customFormat="1" ht="12.75" customHeight="1">
      <c r="A1" s="58" t="s">
        <v>22</v>
      </c>
      <c r="B1" s="145"/>
      <c r="C1" s="145"/>
      <c r="D1" s="145"/>
      <c r="E1" s="6"/>
      <c r="F1" s="6"/>
      <c r="G1" s="6"/>
      <c r="H1" s="6"/>
      <c r="I1" s="6"/>
      <c r="J1" s="6"/>
      <c r="K1" s="108"/>
      <c r="L1" s="6"/>
      <c r="M1" s="7"/>
    </row>
    <row r="2" spans="1:13" s="2" customFormat="1" ht="11.25" customHeight="1" thickBot="1">
      <c r="A2" s="7"/>
      <c r="B2" s="146"/>
      <c r="C2" s="146"/>
      <c r="D2" s="146"/>
      <c r="E2" s="6"/>
      <c r="F2" s="6"/>
      <c r="G2" s="6"/>
      <c r="H2" s="6"/>
      <c r="I2" s="6"/>
      <c r="J2" s="6"/>
      <c r="K2" s="108"/>
      <c r="L2" s="6"/>
      <c r="M2" s="7"/>
    </row>
    <row r="3" spans="1:13" s="3" customFormat="1" ht="15" customHeight="1">
      <c r="A3" s="59" t="s">
        <v>54</v>
      </c>
      <c r="B3" s="121" t="s">
        <v>206</v>
      </c>
      <c r="C3" s="121"/>
      <c r="D3" s="122"/>
      <c r="E3" s="62"/>
      <c r="F3" s="62"/>
      <c r="G3" s="62"/>
      <c r="H3" s="62"/>
      <c r="I3" s="62"/>
      <c r="J3" s="133"/>
      <c r="K3" s="133"/>
      <c r="L3" s="133"/>
      <c r="M3" s="9"/>
    </row>
    <row r="4" spans="1:13" s="3" customFormat="1" ht="13.2">
      <c r="A4" s="64" t="s">
        <v>55</v>
      </c>
      <c r="B4" s="147" t="s">
        <v>187</v>
      </c>
      <c r="C4" s="148"/>
      <c r="D4" s="149"/>
      <c r="E4" s="62"/>
      <c r="F4" s="62"/>
      <c r="G4" s="62"/>
      <c r="H4" s="62"/>
      <c r="I4" s="62"/>
      <c r="J4" s="133"/>
      <c r="K4" s="133"/>
      <c r="L4" s="133"/>
      <c r="M4" s="9"/>
    </row>
    <row r="5" spans="1:13" s="72" customFormat="1" ht="26.4">
      <c r="A5" s="64" t="s">
        <v>48</v>
      </c>
      <c r="B5" s="150" t="s">
        <v>197</v>
      </c>
      <c r="C5" s="151"/>
      <c r="D5" s="152"/>
      <c r="E5" s="70"/>
      <c r="F5" s="70"/>
      <c r="G5" s="70"/>
      <c r="H5" s="70"/>
      <c r="I5" s="70"/>
      <c r="J5" s="153"/>
      <c r="K5" s="153"/>
      <c r="L5" s="153"/>
      <c r="M5" s="71"/>
    </row>
    <row r="6" spans="1:13" s="3" customFormat="1" ht="15" customHeight="1">
      <c r="A6" s="12" t="s">
        <v>56</v>
      </c>
      <c r="B6" s="86">
        <f>COUNTIF(K12:K15,"Pass")</f>
        <v>3</v>
      </c>
      <c r="C6" s="10" t="s">
        <v>57</v>
      </c>
      <c r="D6" s="13">
        <f>COUNTIF(K10:K734,"Pending")</f>
        <v>0</v>
      </c>
      <c r="E6" s="113"/>
      <c r="F6" s="113"/>
      <c r="G6" s="113"/>
      <c r="H6" s="113"/>
      <c r="I6" s="113"/>
      <c r="J6" s="133"/>
      <c r="K6" s="133"/>
      <c r="L6" s="133"/>
      <c r="M6" s="9"/>
    </row>
    <row r="7" spans="1:13" s="3" customFormat="1" ht="15" customHeight="1" thickBot="1">
      <c r="A7" s="14" t="s">
        <v>20</v>
      </c>
      <c r="B7" s="87">
        <f>COUNTIF(K12:K15,"Fail")</f>
        <v>0</v>
      </c>
      <c r="C7" s="29" t="s">
        <v>46</v>
      </c>
      <c r="D7" s="60">
        <f>COUNTA(A13:A15)</f>
        <v>3</v>
      </c>
      <c r="E7" s="63"/>
      <c r="F7" s="63"/>
      <c r="G7" s="63"/>
      <c r="H7" s="63"/>
      <c r="I7" s="63"/>
      <c r="J7" s="133"/>
      <c r="K7" s="133"/>
      <c r="L7" s="133"/>
      <c r="M7" s="9"/>
    </row>
    <row r="8" spans="1:13" s="3" customFormat="1" ht="15" customHeight="1">
      <c r="A8" s="134"/>
      <c r="B8" s="134"/>
      <c r="C8" s="134"/>
      <c r="D8" s="134"/>
      <c r="E8" s="113"/>
      <c r="F8" s="113"/>
      <c r="G8" s="113"/>
      <c r="H8" s="113"/>
      <c r="I8" s="113"/>
      <c r="J8" s="113"/>
      <c r="K8" s="109"/>
      <c r="L8" s="109"/>
      <c r="M8" s="9"/>
    </row>
    <row r="9" spans="1:13" s="74" customFormat="1" ht="12" customHeight="1">
      <c r="A9" s="124" t="s">
        <v>49</v>
      </c>
      <c r="B9" s="136" t="s">
        <v>23</v>
      </c>
      <c r="C9" s="124" t="s">
        <v>34</v>
      </c>
      <c r="D9" s="138" t="s">
        <v>47</v>
      </c>
      <c r="E9" s="139"/>
      <c r="F9" s="139"/>
      <c r="G9" s="140"/>
      <c r="H9" s="123" t="s">
        <v>211</v>
      </c>
      <c r="I9" s="123" t="s">
        <v>193</v>
      </c>
      <c r="J9" s="144" t="s">
        <v>45</v>
      </c>
      <c r="K9" s="135" t="s">
        <v>24</v>
      </c>
      <c r="L9" s="135" t="s">
        <v>50</v>
      </c>
      <c r="M9" s="73"/>
    </row>
    <row r="10" spans="1:13" s="3" customFormat="1" ht="12" customHeight="1">
      <c r="A10" s="135"/>
      <c r="B10" s="137"/>
      <c r="C10" s="135"/>
      <c r="D10" s="141"/>
      <c r="E10" s="142"/>
      <c r="F10" s="142"/>
      <c r="G10" s="143"/>
      <c r="H10" s="124"/>
      <c r="I10" s="124"/>
      <c r="J10" s="141"/>
      <c r="K10" s="135"/>
      <c r="L10" s="135"/>
      <c r="M10" s="9"/>
    </row>
    <row r="11" spans="1:13" s="75" customFormat="1" ht="15">
      <c r="A11" s="127"/>
      <c r="B11" s="127"/>
      <c r="C11" s="127"/>
      <c r="D11" s="127"/>
      <c r="E11" s="127"/>
      <c r="F11" s="127"/>
      <c r="G11" s="127"/>
      <c r="H11" s="127"/>
      <c r="I11" s="127"/>
      <c r="J11" s="127"/>
      <c r="K11" s="127"/>
      <c r="L11" s="128"/>
    </row>
    <row r="12" spans="1:13" s="4" customFormat="1" ht="13.2">
      <c r="A12" s="129" t="s">
        <v>188</v>
      </c>
      <c r="B12" s="130"/>
      <c r="C12" s="130"/>
      <c r="D12" s="130"/>
      <c r="E12" s="130"/>
      <c r="F12" s="130"/>
      <c r="G12" s="130"/>
      <c r="H12" s="130"/>
      <c r="I12" s="130"/>
      <c r="J12" s="130"/>
      <c r="K12" s="130"/>
      <c r="L12" s="131"/>
    </row>
    <row r="13" spans="1:13" s="4" customFormat="1" ht="39.6" outlineLevel="1">
      <c r="A13" s="79" t="s">
        <v>207</v>
      </c>
      <c r="B13" s="88" t="s">
        <v>190</v>
      </c>
      <c r="C13" s="78" t="s">
        <v>191</v>
      </c>
      <c r="D13" s="132" t="s">
        <v>192</v>
      </c>
      <c r="E13" s="126"/>
      <c r="F13" s="126"/>
      <c r="G13" s="77"/>
      <c r="H13" s="112" t="s">
        <v>212</v>
      </c>
      <c r="I13" s="116" t="s">
        <v>195</v>
      </c>
      <c r="J13" s="117">
        <v>45997</v>
      </c>
      <c r="K13" s="78" t="s">
        <v>56</v>
      </c>
      <c r="L13" s="76" t="s">
        <v>35</v>
      </c>
    </row>
    <row r="14" spans="1:13" s="4" customFormat="1" ht="63.75" customHeight="1" outlineLevel="1">
      <c r="A14" s="79" t="s">
        <v>208</v>
      </c>
      <c r="B14" s="95" t="s">
        <v>196</v>
      </c>
      <c r="C14" s="96" t="s">
        <v>199</v>
      </c>
      <c r="D14" s="125" t="s">
        <v>200</v>
      </c>
      <c r="E14" s="126"/>
      <c r="F14" s="126"/>
      <c r="G14" s="77"/>
      <c r="H14" s="112" t="s">
        <v>213</v>
      </c>
      <c r="I14" s="116" t="s">
        <v>201</v>
      </c>
      <c r="J14" s="118" t="s">
        <v>198</v>
      </c>
      <c r="K14" s="78" t="s">
        <v>56</v>
      </c>
      <c r="L14" s="76" t="s">
        <v>35</v>
      </c>
    </row>
    <row r="15" spans="1:13" s="4" customFormat="1" ht="63.75" customHeight="1" outlineLevel="1">
      <c r="A15" s="79" t="s">
        <v>209</v>
      </c>
      <c r="B15" s="95" t="s">
        <v>202</v>
      </c>
      <c r="C15" s="96" t="s">
        <v>205</v>
      </c>
      <c r="D15" s="125" t="s">
        <v>204</v>
      </c>
      <c r="E15" s="126"/>
      <c r="F15" s="126"/>
      <c r="G15" s="77"/>
      <c r="H15" s="112" t="s">
        <v>214</v>
      </c>
      <c r="I15" s="112" t="s">
        <v>203</v>
      </c>
      <c r="J15" s="118" t="s">
        <v>198</v>
      </c>
      <c r="K15" s="78" t="s">
        <v>56</v>
      </c>
      <c r="L15" s="76" t="s">
        <v>35</v>
      </c>
    </row>
    <row r="16" spans="1:13" s="4" customFormat="1" ht="39.6" outlineLevel="1">
      <c r="A16" s="79" t="s">
        <v>254</v>
      </c>
      <c r="B16" s="95" t="s">
        <v>250</v>
      </c>
      <c r="C16" s="96" t="s">
        <v>251</v>
      </c>
      <c r="D16" s="125" t="s">
        <v>252</v>
      </c>
      <c r="E16" s="126"/>
      <c r="F16" s="126"/>
      <c r="G16" s="77"/>
      <c r="H16" s="112" t="s">
        <v>253</v>
      </c>
      <c r="I16" s="116" t="s">
        <v>194</v>
      </c>
      <c r="J16" s="118" t="s">
        <v>198</v>
      </c>
      <c r="K16" s="78" t="s">
        <v>56</v>
      </c>
      <c r="L16" s="76" t="s">
        <v>35</v>
      </c>
    </row>
    <row r="17" spans="1:16" s="4" customFormat="1" outlineLevel="1">
      <c r="A17"/>
      <c r="B17"/>
      <c r="C17"/>
      <c r="D17"/>
      <c r="E17"/>
      <c r="F17"/>
      <c r="G17"/>
      <c r="H17"/>
      <c r="I17"/>
      <c r="J17"/>
      <c r="K17" s="94"/>
      <c r="L17" s="92"/>
    </row>
    <row r="18" spans="1:16" s="4" customFormat="1" outlineLevel="1">
      <c r="A18"/>
      <c r="B18"/>
      <c r="C18"/>
      <c r="D18"/>
      <c r="E18"/>
      <c r="F18"/>
      <c r="G18"/>
      <c r="H18"/>
      <c r="I18"/>
      <c r="J18"/>
      <c r="K18" s="94"/>
      <c r="L18" s="92"/>
    </row>
    <row r="19" spans="1:16" s="4" customFormat="1" ht="63.75" customHeight="1" outlineLevel="1">
      <c r="A19"/>
      <c r="B19"/>
      <c r="C19"/>
      <c r="D19"/>
      <c r="E19"/>
      <c r="F19"/>
      <c r="G19"/>
      <c r="H19"/>
      <c r="I19"/>
      <c r="J19"/>
      <c r="K19" s="94"/>
      <c r="L19" s="92"/>
    </row>
    <row r="20" spans="1:16" s="4" customFormat="1" ht="63.75" customHeight="1" outlineLevel="1">
      <c r="A20"/>
      <c r="B20"/>
      <c r="C20"/>
      <c r="D20"/>
      <c r="E20"/>
      <c r="F20"/>
      <c r="G20"/>
      <c r="H20"/>
      <c r="I20"/>
      <c r="J20"/>
      <c r="K20" s="94"/>
      <c r="L20" s="92"/>
    </row>
    <row r="21" spans="1:16" s="4" customFormat="1" outlineLevel="1">
      <c r="A21"/>
      <c r="B21"/>
      <c r="C21"/>
      <c r="D21"/>
      <c r="E21"/>
      <c r="F21"/>
      <c r="G21"/>
      <c r="H21"/>
      <c r="I21"/>
      <c r="J21"/>
      <c r="K21" s="94"/>
      <c r="L21" s="92"/>
    </row>
    <row r="22" spans="1:16" s="4" customFormat="1" outlineLevel="1">
      <c r="A22"/>
      <c r="B22"/>
      <c r="C22"/>
      <c r="D22"/>
      <c r="E22"/>
      <c r="F22"/>
      <c r="G22"/>
      <c r="H22"/>
      <c r="I22"/>
      <c r="J22"/>
      <c r="K22" s="94"/>
      <c r="L22" s="92"/>
    </row>
    <row r="23" spans="1:16" s="4" customFormat="1">
      <c r="A23"/>
      <c r="B23"/>
      <c r="C23"/>
      <c r="D23"/>
      <c r="E23"/>
      <c r="F23"/>
      <c r="G23"/>
      <c r="H23"/>
      <c r="I23"/>
      <c r="J23"/>
      <c r="K23" s="94"/>
      <c r="L23" s="92"/>
    </row>
    <row r="24" spans="1:16" s="84" customFormat="1" ht="228.75" customHeight="1" outlineLevel="1">
      <c r="A24"/>
      <c r="B24"/>
      <c r="C24"/>
      <c r="D24"/>
      <c r="E24"/>
      <c r="F24"/>
      <c r="G24"/>
      <c r="H24"/>
      <c r="I24"/>
      <c r="J24"/>
      <c r="K24" s="94"/>
      <c r="L24" s="92"/>
    </row>
    <row r="25" spans="1:16" s="84" customFormat="1" ht="207.75" customHeight="1" outlineLevel="1">
      <c r="A25"/>
      <c r="B25"/>
      <c r="C25"/>
      <c r="D25"/>
      <c r="E25"/>
      <c r="F25"/>
      <c r="G25"/>
      <c r="H25"/>
      <c r="I25"/>
      <c r="J25"/>
      <c r="K25" s="94"/>
      <c r="L25" s="92"/>
    </row>
    <row r="26" spans="1:16" s="84" customFormat="1" ht="255" customHeight="1" outlineLevel="1">
      <c r="A26"/>
      <c r="B26"/>
      <c r="C26"/>
      <c r="D26"/>
      <c r="E26"/>
      <c r="F26"/>
      <c r="G26"/>
      <c r="H26"/>
      <c r="I26"/>
      <c r="J26"/>
      <c r="K26" s="94"/>
      <c r="L26" s="92"/>
      <c r="M26" s="99"/>
      <c r="N26" s="99"/>
      <c r="O26" s="99"/>
      <c r="P26" s="99"/>
    </row>
    <row r="27" spans="1:16" s="84" customFormat="1" ht="276.75" customHeight="1" outlineLevel="1">
      <c r="A27"/>
      <c r="B27"/>
      <c r="C27"/>
      <c r="D27"/>
      <c r="E27"/>
      <c r="F27"/>
      <c r="G27"/>
      <c r="H27"/>
      <c r="I27"/>
      <c r="J27"/>
      <c r="K27" s="94"/>
      <c r="L27" s="92"/>
    </row>
    <row r="28" spans="1:16" s="4" customFormat="1" collapsed="1">
      <c r="A28"/>
      <c r="B28"/>
      <c r="C28"/>
      <c r="D28"/>
      <c r="E28"/>
      <c r="F28"/>
      <c r="G28"/>
      <c r="H28"/>
      <c r="I28"/>
      <c r="J28"/>
      <c r="K28" s="94"/>
      <c r="L28" s="92"/>
    </row>
    <row r="29" spans="1:16" s="4" customFormat="1" hidden="1" outlineLevel="1">
      <c r="A29"/>
      <c r="B29"/>
      <c r="C29"/>
      <c r="D29"/>
      <c r="E29"/>
      <c r="F29"/>
      <c r="G29"/>
      <c r="H29"/>
      <c r="I29"/>
      <c r="J29"/>
      <c r="K29" s="94"/>
      <c r="L29" s="92"/>
    </row>
    <row r="30" spans="1:16" s="84" customFormat="1" ht="70.5" hidden="1" customHeight="1" outlineLevel="1">
      <c r="A30"/>
      <c r="B30"/>
      <c r="C30"/>
      <c r="D30"/>
      <c r="E30"/>
      <c r="F30"/>
      <c r="G30"/>
      <c r="H30"/>
      <c r="I30"/>
      <c r="J30"/>
      <c r="K30" s="94"/>
      <c r="L30" s="92"/>
    </row>
    <row r="31" spans="1:16" s="84" customFormat="1" ht="87.75" hidden="1" customHeight="1" outlineLevel="1">
      <c r="A31"/>
      <c r="B31"/>
      <c r="C31"/>
      <c r="D31"/>
      <c r="E31"/>
      <c r="F31"/>
      <c r="G31"/>
      <c r="H31"/>
      <c r="I31"/>
      <c r="J31"/>
      <c r="K31" s="94"/>
      <c r="L31" s="92"/>
    </row>
    <row r="32" spans="1:16" s="84" customFormat="1" ht="87.75" hidden="1" customHeight="1" outlineLevel="1">
      <c r="A32"/>
      <c r="B32"/>
      <c r="C32"/>
      <c r="D32"/>
      <c r="E32"/>
      <c r="F32"/>
      <c r="G32"/>
      <c r="H32"/>
      <c r="I32"/>
      <c r="J32"/>
      <c r="K32" s="94"/>
      <c r="L32" s="92"/>
    </row>
    <row r="33" spans="1:12" s="84" customFormat="1" ht="59.25" hidden="1" customHeight="1" outlineLevel="1">
      <c r="A33"/>
      <c r="B33"/>
      <c r="C33"/>
      <c r="D33"/>
      <c r="E33"/>
      <c r="F33"/>
      <c r="G33"/>
      <c r="H33"/>
      <c r="I33"/>
      <c r="J33"/>
      <c r="K33" s="94"/>
      <c r="L33" s="92"/>
    </row>
    <row r="34" spans="1:12" s="84" customFormat="1" ht="56.25" hidden="1" customHeight="1" outlineLevel="1">
      <c r="A34"/>
      <c r="B34"/>
      <c r="C34"/>
      <c r="D34"/>
      <c r="E34"/>
      <c r="F34"/>
      <c r="G34"/>
      <c r="H34"/>
      <c r="I34"/>
      <c r="J34"/>
      <c r="K34" s="94"/>
      <c r="L34" s="92"/>
    </row>
    <row r="35" spans="1:12" s="84" customFormat="1" ht="87.75" hidden="1" customHeight="1" outlineLevel="1">
      <c r="A35"/>
      <c r="B35"/>
      <c r="C35"/>
      <c r="D35"/>
      <c r="E35"/>
      <c r="F35"/>
      <c r="G35"/>
      <c r="H35"/>
      <c r="I35"/>
      <c r="J35"/>
      <c r="K35" s="94"/>
      <c r="L35" s="92"/>
    </row>
    <row r="36" spans="1:12" s="84" customFormat="1" ht="62.25" hidden="1" customHeight="1" outlineLevel="1">
      <c r="A36"/>
      <c r="B36"/>
      <c r="C36"/>
      <c r="D36"/>
      <c r="E36"/>
      <c r="F36"/>
      <c r="G36"/>
      <c r="H36"/>
      <c r="I36"/>
      <c r="J36"/>
      <c r="K36" s="94"/>
      <c r="L36" s="92"/>
    </row>
    <row r="37" spans="1:12" s="4" customFormat="1" hidden="1" outlineLevel="1">
      <c r="A37"/>
      <c r="B37"/>
      <c r="C37"/>
      <c r="D37"/>
      <c r="E37"/>
      <c r="F37"/>
      <c r="G37"/>
      <c r="H37"/>
      <c r="I37"/>
      <c r="J37"/>
      <c r="K37" s="94"/>
      <c r="L37" s="92"/>
    </row>
    <row r="38" spans="1:12" s="84" customFormat="1" ht="87.75" hidden="1" customHeight="1" outlineLevel="1">
      <c r="A38"/>
      <c r="B38"/>
      <c r="C38"/>
      <c r="D38"/>
      <c r="E38"/>
      <c r="F38"/>
      <c r="G38"/>
      <c r="H38"/>
      <c r="I38"/>
      <c r="J38"/>
      <c r="K38" s="94"/>
      <c r="L38" s="92"/>
    </row>
    <row r="39" spans="1:12" s="4" customFormat="1" collapsed="1">
      <c r="A39"/>
      <c r="B39"/>
      <c r="C39"/>
      <c r="D39"/>
      <c r="E39"/>
      <c r="F39"/>
      <c r="G39"/>
      <c r="H39"/>
      <c r="I39"/>
      <c r="J39"/>
      <c r="K39" s="94"/>
      <c r="L39" s="92"/>
    </row>
    <row r="40" spans="1:12" s="84" customFormat="1" ht="101.25" hidden="1" customHeight="1" outlineLevel="1">
      <c r="A40"/>
      <c r="B40"/>
      <c r="C40"/>
      <c r="D40"/>
      <c r="E40"/>
      <c r="F40"/>
      <c r="G40"/>
      <c r="H40"/>
      <c r="I40"/>
      <c r="J40"/>
      <c r="K40" s="94"/>
      <c r="L40" s="92"/>
    </row>
    <row r="41" spans="1:12" s="84" customFormat="1" ht="96" hidden="1" customHeight="1" outlineLevel="1">
      <c r="A41"/>
      <c r="B41"/>
      <c r="C41"/>
      <c r="D41"/>
      <c r="E41"/>
      <c r="F41"/>
      <c r="G41"/>
      <c r="H41"/>
      <c r="I41"/>
      <c r="J41"/>
      <c r="K41" s="94"/>
      <c r="L41" s="92"/>
    </row>
    <row r="42" spans="1:12" s="84" customFormat="1" ht="96" hidden="1" customHeight="1" outlineLevel="1">
      <c r="A42"/>
      <c r="B42"/>
      <c r="C42"/>
      <c r="D42"/>
      <c r="E42"/>
      <c r="F42"/>
      <c r="G42"/>
      <c r="H42"/>
      <c r="I42"/>
      <c r="J42"/>
      <c r="K42" s="94"/>
      <c r="L42" s="92"/>
    </row>
    <row r="43" spans="1:12" s="4" customFormat="1" collapsed="1">
      <c r="A43"/>
      <c r="B43"/>
      <c r="C43"/>
      <c r="D43"/>
      <c r="E43"/>
      <c r="F43"/>
      <c r="G43"/>
      <c r="H43"/>
      <c r="I43"/>
      <c r="J43"/>
      <c r="K43" s="94"/>
      <c r="L43" s="92"/>
    </row>
    <row r="44" spans="1:12" s="84" customFormat="1" ht="27.75" hidden="1" customHeight="1" outlineLevel="1">
      <c r="A44"/>
      <c r="B44"/>
      <c r="C44"/>
      <c r="D44"/>
      <c r="E44"/>
      <c r="F44"/>
      <c r="G44"/>
      <c r="H44"/>
      <c r="I44"/>
      <c r="J44"/>
      <c r="K44" s="94"/>
      <c r="L44" s="92"/>
    </row>
    <row r="45" spans="1:12" s="84" customFormat="1" ht="27.75" hidden="1" customHeight="1" outlineLevel="1">
      <c r="A45"/>
      <c r="B45"/>
      <c r="C45"/>
      <c r="D45"/>
      <c r="E45"/>
      <c r="F45"/>
      <c r="G45"/>
      <c r="H45"/>
      <c r="I45"/>
      <c r="J45"/>
      <c r="K45" s="94"/>
      <c r="L45" s="92"/>
    </row>
    <row r="46" spans="1:12" s="84" customFormat="1" ht="81" hidden="1" customHeight="1" outlineLevel="1">
      <c r="A46"/>
      <c r="B46"/>
      <c r="C46"/>
      <c r="D46"/>
      <c r="E46"/>
      <c r="F46"/>
      <c r="G46"/>
      <c r="H46"/>
      <c r="I46"/>
      <c r="J46"/>
      <c r="K46" s="94"/>
      <c r="L46" s="92"/>
    </row>
    <row r="47" spans="1:12" s="4" customFormat="1">
      <c r="A47"/>
      <c r="B47"/>
      <c r="C47"/>
      <c r="D47"/>
      <c r="E47"/>
      <c r="F47"/>
      <c r="G47"/>
      <c r="H47"/>
      <c r="I47"/>
      <c r="J47"/>
      <c r="K47" s="94"/>
      <c r="L47" s="92"/>
    </row>
    <row r="48" spans="1:12" s="4" customFormat="1" outlineLevel="1">
      <c r="A48"/>
      <c r="B48"/>
      <c r="C48"/>
      <c r="D48"/>
      <c r="E48"/>
      <c r="F48"/>
      <c r="G48"/>
      <c r="H48"/>
      <c r="I48"/>
      <c r="J48"/>
      <c r="K48" s="94"/>
      <c r="L48" s="92"/>
    </row>
    <row r="49" spans="1:12" s="84" customFormat="1" ht="87.75" customHeight="1" outlineLevel="1">
      <c r="A49"/>
      <c r="B49"/>
      <c r="C49"/>
      <c r="D49"/>
      <c r="E49"/>
      <c r="F49"/>
      <c r="G49"/>
      <c r="H49"/>
      <c r="I49"/>
      <c r="J49"/>
      <c r="K49" s="94"/>
      <c r="L49" s="92"/>
    </row>
    <row r="50" spans="1:12" s="84" customFormat="1" ht="87.75" customHeight="1" outlineLevel="1">
      <c r="A50"/>
      <c r="B50"/>
      <c r="C50"/>
      <c r="D50"/>
      <c r="E50"/>
      <c r="F50"/>
      <c r="G50"/>
      <c r="H50"/>
      <c r="I50"/>
      <c r="J50"/>
      <c r="K50" s="94"/>
      <c r="L50" s="92"/>
    </row>
    <row r="51" spans="1:12" s="4" customFormat="1" outlineLevel="1">
      <c r="A51"/>
      <c r="B51"/>
      <c r="C51"/>
      <c r="D51"/>
      <c r="E51"/>
      <c r="F51"/>
      <c r="G51"/>
      <c r="H51"/>
      <c r="I51"/>
      <c r="J51"/>
      <c r="K51" s="94"/>
      <c r="L51" s="92"/>
    </row>
    <row r="52" spans="1:12" s="84" customFormat="1" ht="87.75" customHeight="1" outlineLevel="1">
      <c r="A52"/>
      <c r="B52"/>
      <c r="C52"/>
      <c r="D52"/>
      <c r="E52"/>
      <c r="F52"/>
      <c r="G52"/>
      <c r="H52"/>
      <c r="I52"/>
      <c r="J52"/>
      <c r="K52" s="94"/>
      <c r="L52" s="92"/>
    </row>
    <row r="53" spans="1:12" s="84" customFormat="1" ht="87.75" customHeight="1" outlineLevel="1">
      <c r="A53"/>
      <c r="B53"/>
      <c r="C53"/>
      <c r="D53"/>
      <c r="E53"/>
      <c r="F53"/>
      <c r="G53"/>
      <c r="H53"/>
      <c r="I53"/>
      <c r="J53"/>
      <c r="K53" s="94"/>
      <c r="L53" s="92"/>
    </row>
    <row r="54" spans="1:12" s="4" customFormat="1" outlineLevel="1">
      <c r="A54"/>
      <c r="B54"/>
      <c r="C54"/>
      <c r="D54"/>
      <c r="E54"/>
      <c r="F54"/>
      <c r="G54"/>
      <c r="H54"/>
      <c r="I54"/>
      <c r="J54"/>
      <c r="K54" s="94"/>
      <c r="L54" s="92"/>
    </row>
    <row r="55" spans="1:12" s="84" customFormat="1" ht="87.75" customHeight="1" outlineLevel="1">
      <c r="A55"/>
      <c r="B55"/>
      <c r="C55"/>
      <c r="D55"/>
      <c r="E55"/>
      <c r="F55"/>
      <c r="G55"/>
      <c r="H55"/>
      <c r="I55"/>
      <c r="J55"/>
      <c r="K55" s="94"/>
      <c r="L55" s="92"/>
    </row>
    <row r="56" spans="1:12" s="84" customFormat="1" ht="87.75" customHeight="1" outlineLevel="1">
      <c r="A56"/>
      <c r="B56"/>
      <c r="C56"/>
      <c r="D56"/>
      <c r="E56"/>
      <c r="F56"/>
      <c r="G56"/>
      <c r="H56"/>
      <c r="I56"/>
      <c r="J56"/>
      <c r="K56" s="94"/>
      <c r="L56" s="92"/>
    </row>
    <row r="57" spans="1:12" s="4" customFormat="1" outlineLevel="1">
      <c r="A57"/>
      <c r="B57"/>
      <c r="C57"/>
      <c r="D57"/>
      <c r="E57"/>
      <c r="F57"/>
      <c r="G57"/>
      <c r="H57"/>
      <c r="I57"/>
      <c r="J57"/>
      <c r="K57" s="94"/>
      <c r="L57" s="92"/>
    </row>
    <row r="58" spans="1:12" s="84" customFormat="1" ht="87.75" customHeight="1" outlineLevel="1">
      <c r="A58"/>
      <c r="B58"/>
      <c r="C58"/>
      <c r="D58"/>
      <c r="E58"/>
      <c r="F58"/>
      <c r="G58"/>
      <c r="H58"/>
      <c r="I58"/>
      <c r="J58"/>
      <c r="K58" s="94"/>
      <c r="L58" s="92"/>
    </row>
    <row r="59" spans="1:12" s="84" customFormat="1" ht="87.75" customHeight="1" outlineLevel="1">
      <c r="A59"/>
      <c r="B59"/>
      <c r="C59"/>
      <c r="D59"/>
      <c r="E59"/>
      <c r="F59"/>
      <c r="G59"/>
      <c r="H59"/>
      <c r="I59"/>
      <c r="J59"/>
      <c r="K59" s="94"/>
      <c r="L59" s="92"/>
    </row>
    <row r="60" spans="1:12" s="4" customFormat="1">
      <c r="A60"/>
      <c r="B60"/>
      <c r="C60"/>
      <c r="D60"/>
      <c r="E60"/>
      <c r="F60"/>
      <c r="G60"/>
      <c r="H60"/>
      <c r="I60"/>
      <c r="J60"/>
      <c r="K60" s="94"/>
      <c r="L60" s="92"/>
    </row>
    <row r="61" spans="1:12" s="84" customFormat="1" ht="87.75" customHeight="1" outlineLevel="1">
      <c r="A61"/>
      <c r="B61"/>
      <c r="C61"/>
      <c r="D61"/>
      <c r="E61"/>
      <c r="F61"/>
      <c r="G61"/>
      <c r="H61"/>
      <c r="I61"/>
      <c r="J61"/>
      <c r="K61" s="94"/>
      <c r="L61" s="92"/>
    </row>
    <row r="62" spans="1:12" s="84" customFormat="1" ht="87.75" customHeight="1" outlineLevel="1">
      <c r="A62"/>
      <c r="B62"/>
      <c r="C62"/>
      <c r="D62"/>
      <c r="E62"/>
      <c r="F62"/>
      <c r="G62"/>
      <c r="H62"/>
      <c r="I62"/>
      <c r="J62"/>
      <c r="K62" s="94"/>
      <c r="L62" s="92"/>
    </row>
    <row r="63" spans="1:12" ht="12" customHeight="1"/>
    <row r="64" spans="1:12"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sheetData>
  <mergeCells count="25">
    <mergeCell ref="B5:D5"/>
    <mergeCell ref="J5:L5"/>
    <mergeCell ref="B1:D2"/>
    <mergeCell ref="B3:D3"/>
    <mergeCell ref="J3:L3"/>
    <mergeCell ref="B4:D4"/>
    <mergeCell ref="J4:L4"/>
    <mergeCell ref="J6:L6"/>
    <mergeCell ref="J7:L7"/>
    <mergeCell ref="A8:D8"/>
    <mergeCell ref="A9:A10"/>
    <mergeCell ref="B9:B10"/>
    <mergeCell ref="C9:C10"/>
    <mergeCell ref="D9:G10"/>
    <mergeCell ref="J9:J10"/>
    <mergeCell ref="K9:K10"/>
    <mergeCell ref="L9:L10"/>
    <mergeCell ref="I9:I10"/>
    <mergeCell ref="H9:H10"/>
    <mergeCell ref="D16:F16"/>
    <mergeCell ref="A11:L11"/>
    <mergeCell ref="A12:L12"/>
    <mergeCell ref="D13:F13"/>
    <mergeCell ref="D14:F14"/>
    <mergeCell ref="D15:F15"/>
  </mergeCells>
  <hyperlinks>
    <hyperlink ref="I13" r:id="rId1" display="Email=user@example.com; Password=Pass123" xr:uid="{3A7A5616-D73B-4801-9F61-C5F6F91F4531}"/>
    <hyperlink ref="I14" r:id="rId2" display="Email=existing@example.com; Password=Pass1234" xr:uid="{F27B3BBA-3B19-47D0-B724-D49D4CBDD49D}"/>
    <hyperlink ref="I16" r:id="rId3" xr:uid="{BE936B59-10E1-43A4-8EFC-80852C0C6795}"/>
  </hyperlinks>
  <pageMargins left="0.75" right="0.75" top="1" bottom="1" header="0.5" footer="0.5"/>
  <pageSetup orientation="portrait" horizontalDpi="300" verticalDpi="300"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1A27-AE2C-49E0-8ADA-FB5166060E42}">
  <sheetPr>
    <outlinePr summaryBelow="0" summaryRight="0"/>
  </sheetPr>
  <dimension ref="A1:P96"/>
  <sheetViews>
    <sheetView topLeftCell="A7" zoomScale="130" zoomScaleNormal="130" workbookViewId="0">
      <selection activeCell="D13" sqref="D13:F13"/>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25.5546875" customWidth="1"/>
    <col min="9" max="9" width="24.77734375" customWidth="1"/>
    <col min="10" max="10" width="17.21875" customWidth="1"/>
    <col min="11" max="11" width="8.88671875" style="94"/>
    <col min="12" max="12" width="38.44140625" style="92" customWidth="1"/>
  </cols>
  <sheetData>
    <row r="1" spans="1:13" s="2" customFormat="1" ht="12.75" customHeight="1">
      <c r="A1" s="58" t="s">
        <v>22</v>
      </c>
      <c r="B1" s="145"/>
      <c r="C1" s="145"/>
      <c r="D1" s="145"/>
      <c r="E1" s="6"/>
      <c r="F1" s="6"/>
      <c r="G1" s="6"/>
      <c r="H1" s="6"/>
      <c r="I1" s="6"/>
      <c r="J1" s="6"/>
      <c r="K1" s="108"/>
      <c r="L1" s="6"/>
      <c r="M1" s="7"/>
    </row>
    <row r="2" spans="1:13" s="2" customFormat="1" ht="11.25" customHeight="1" thickBot="1">
      <c r="A2" s="7"/>
      <c r="B2" s="146"/>
      <c r="C2" s="146"/>
      <c r="D2" s="146"/>
      <c r="E2" s="6"/>
      <c r="F2" s="6"/>
      <c r="G2" s="6"/>
      <c r="H2" s="6"/>
      <c r="I2" s="6"/>
      <c r="J2" s="6"/>
      <c r="K2" s="108"/>
      <c r="L2" s="6"/>
      <c r="M2" s="7"/>
    </row>
    <row r="3" spans="1:13" s="3" customFormat="1" ht="15" customHeight="1">
      <c r="A3" s="59" t="s">
        <v>54</v>
      </c>
      <c r="B3" s="121" t="s">
        <v>206</v>
      </c>
      <c r="C3" s="121"/>
      <c r="D3" s="122"/>
      <c r="E3" s="62"/>
      <c r="F3" s="62"/>
      <c r="G3" s="62"/>
      <c r="H3" s="62"/>
      <c r="I3" s="62"/>
      <c r="J3" s="133"/>
      <c r="K3" s="133"/>
      <c r="L3" s="133"/>
      <c r="M3" s="9"/>
    </row>
    <row r="4" spans="1:13" s="3" customFormat="1" ht="13.2">
      <c r="A4" s="64" t="s">
        <v>55</v>
      </c>
      <c r="B4" s="147" t="s">
        <v>215</v>
      </c>
      <c r="C4" s="148"/>
      <c r="D4" s="149"/>
      <c r="E4" s="62"/>
      <c r="F4" s="62"/>
      <c r="G4" s="62"/>
      <c r="H4" s="62"/>
      <c r="I4" s="62"/>
      <c r="J4" s="133"/>
      <c r="K4" s="133"/>
      <c r="L4" s="133"/>
      <c r="M4" s="9"/>
    </row>
    <row r="5" spans="1:13" s="72" customFormat="1" ht="26.4">
      <c r="A5" s="64" t="s">
        <v>48</v>
      </c>
      <c r="B5" s="150" t="s">
        <v>189</v>
      </c>
      <c r="C5" s="151"/>
      <c r="D5" s="152"/>
      <c r="E5" s="70"/>
      <c r="F5" s="70"/>
      <c r="G5" s="70"/>
      <c r="H5" s="70"/>
      <c r="I5" s="70"/>
      <c r="J5" s="153"/>
      <c r="K5" s="153"/>
      <c r="L5" s="153"/>
      <c r="M5" s="71"/>
    </row>
    <row r="6" spans="1:13" s="3" customFormat="1" ht="15" customHeight="1">
      <c r="A6" s="12" t="s">
        <v>56</v>
      </c>
      <c r="B6" s="86">
        <f>COUNTIF(K12:K16,"Pass")</f>
        <v>2</v>
      </c>
      <c r="C6" s="10" t="s">
        <v>57</v>
      </c>
      <c r="D6" s="13">
        <f>COUNTIF(K10:K735,"Pending")</f>
        <v>0</v>
      </c>
      <c r="E6" s="113"/>
      <c r="F6" s="113"/>
      <c r="G6" s="113"/>
      <c r="H6" s="113"/>
      <c r="I6" s="113"/>
      <c r="J6" s="133"/>
      <c r="K6" s="133"/>
      <c r="L6" s="133"/>
      <c r="M6" s="9"/>
    </row>
    <row r="7" spans="1:13" s="3" customFormat="1" ht="15" customHeight="1" thickBot="1">
      <c r="A7" s="14" t="s">
        <v>20</v>
      </c>
      <c r="B7" s="87">
        <f>COUNTIF(K12:K16,"Fail")</f>
        <v>1</v>
      </c>
      <c r="C7" s="29" t="s">
        <v>46</v>
      </c>
      <c r="D7" s="60">
        <f>COUNTA(A13:A15)</f>
        <v>3</v>
      </c>
      <c r="E7" s="63"/>
      <c r="F7" s="63"/>
      <c r="G7" s="63"/>
      <c r="H7" s="63"/>
      <c r="I7" s="63"/>
      <c r="J7" s="133"/>
      <c r="K7" s="133"/>
      <c r="L7" s="133"/>
      <c r="M7" s="9"/>
    </row>
    <row r="8" spans="1:13" s="3" customFormat="1" ht="15" customHeight="1">
      <c r="A8" s="134"/>
      <c r="B8" s="134"/>
      <c r="C8" s="134"/>
      <c r="D8" s="134"/>
      <c r="E8" s="113"/>
      <c r="F8" s="113"/>
      <c r="G8" s="113"/>
      <c r="H8" s="113"/>
      <c r="I8" s="113"/>
      <c r="J8" s="113"/>
      <c r="K8" s="109"/>
      <c r="L8" s="109"/>
      <c r="M8" s="9"/>
    </row>
    <row r="9" spans="1:13" s="74" customFormat="1" ht="12" customHeight="1">
      <c r="A9" s="124" t="s">
        <v>49</v>
      </c>
      <c r="B9" s="136" t="s">
        <v>23</v>
      </c>
      <c r="C9" s="124" t="s">
        <v>34</v>
      </c>
      <c r="D9" s="138" t="s">
        <v>47</v>
      </c>
      <c r="E9" s="139"/>
      <c r="F9" s="139"/>
      <c r="G9" s="140"/>
      <c r="H9" s="123" t="s">
        <v>211</v>
      </c>
      <c r="I9" s="123" t="s">
        <v>193</v>
      </c>
      <c r="J9" s="144" t="s">
        <v>45</v>
      </c>
      <c r="K9" s="135" t="s">
        <v>24</v>
      </c>
      <c r="L9" s="135" t="s">
        <v>50</v>
      </c>
      <c r="M9" s="73"/>
    </row>
    <row r="10" spans="1:13" s="3" customFormat="1" ht="12" customHeight="1">
      <c r="A10" s="135"/>
      <c r="B10" s="137"/>
      <c r="C10" s="135"/>
      <c r="D10" s="141"/>
      <c r="E10" s="142"/>
      <c r="F10" s="142"/>
      <c r="G10" s="143"/>
      <c r="H10" s="124"/>
      <c r="I10" s="124"/>
      <c r="J10" s="141"/>
      <c r="K10" s="135"/>
      <c r="L10" s="135"/>
      <c r="M10" s="9"/>
    </row>
    <row r="11" spans="1:13" s="75" customFormat="1" ht="15">
      <c r="A11" s="127"/>
      <c r="B11" s="127"/>
      <c r="C11" s="127"/>
      <c r="D11" s="127"/>
      <c r="E11" s="127"/>
      <c r="F11" s="127"/>
      <c r="G11" s="127"/>
      <c r="H11" s="127"/>
      <c r="I11" s="127"/>
      <c r="J11" s="127"/>
      <c r="K11" s="127"/>
      <c r="L11" s="128"/>
    </row>
    <row r="12" spans="1:13" s="4" customFormat="1" ht="13.2">
      <c r="A12" s="129" t="s">
        <v>210</v>
      </c>
      <c r="B12" s="130"/>
      <c r="C12" s="130"/>
      <c r="D12" s="130"/>
      <c r="E12" s="130"/>
      <c r="F12" s="130"/>
      <c r="G12" s="130"/>
      <c r="H12" s="130"/>
      <c r="I12" s="130"/>
      <c r="J12" s="130"/>
      <c r="K12" s="130"/>
      <c r="L12" s="131"/>
    </row>
    <row r="13" spans="1:13" s="4" customFormat="1" ht="79.2" customHeight="1" outlineLevel="1">
      <c r="A13" s="79" t="s">
        <v>216</v>
      </c>
      <c r="B13" s="88" t="s">
        <v>221</v>
      </c>
      <c r="C13" s="78" t="s">
        <v>224</v>
      </c>
      <c r="D13" s="132" t="s">
        <v>225</v>
      </c>
      <c r="E13" s="126"/>
      <c r="F13" s="126" t="s">
        <v>217</v>
      </c>
      <c r="G13" s="77"/>
      <c r="H13" s="112" t="s">
        <v>220</v>
      </c>
      <c r="I13" s="116" t="s">
        <v>195</v>
      </c>
      <c r="J13" s="118" t="s">
        <v>218</v>
      </c>
      <c r="K13" s="78" t="s">
        <v>56</v>
      </c>
      <c r="L13" s="76"/>
    </row>
    <row r="14" spans="1:13" s="4" customFormat="1" ht="13.2" outlineLevel="1">
      <c r="A14" s="154" t="s">
        <v>222</v>
      </c>
      <c r="B14" s="155"/>
      <c r="C14" s="155"/>
      <c r="D14" s="110"/>
      <c r="E14" s="110"/>
      <c r="F14" s="110"/>
      <c r="G14" s="110"/>
      <c r="H14" s="110"/>
      <c r="I14"/>
      <c r="J14" s="120"/>
      <c r="K14" s="110"/>
      <c r="L14" s="111"/>
    </row>
    <row r="15" spans="1:13" s="4" customFormat="1" ht="63.75" customHeight="1" outlineLevel="1">
      <c r="A15" s="79" t="s">
        <v>219</v>
      </c>
      <c r="B15" s="95" t="s">
        <v>223</v>
      </c>
      <c r="C15" s="96" t="s">
        <v>226</v>
      </c>
      <c r="D15" s="125" t="s">
        <v>227</v>
      </c>
      <c r="E15" s="126"/>
      <c r="F15" s="126"/>
      <c r="G15" s="77"/>
      <c r="H15" s="112" t="s">
        <v>228</v>
      </c>
      <c r="I15" s="119" t="s">
        <v>194</v>
      </c>
      <c r="J15" s="118" t="s">
        <v>218</v>
      </c>
      <c r="K15" s="78" t="s">
        <v>20</v>
      </c>
      <c r="L15" s="76" t="s">
        <v>229</v>
      </c>
    </row>
    <row r="16" spans="1:13" s="4" customFormat="1" ht="63.75" customHeight="1" outlineLevel="1">
      <c r="A16" s="79" t="s">
        <v>230</v>
      </c>
      <c r="B16" s="95" t="s">
        <v>231</v>
      </c>
      <c r="C16" s="96" t="s">
        <v>232</v>
      </c>
      <c r="D16" s="125" t="s">
        <v>227</v>
      </c>
      <c r="E16" s="126"/>
      <c r="F16" s="126"/>
      <c r="G16" s="77"/>
      <c r="H16" s="112" t="s">
        <v>233</v>
      </c>
      <c r="I16" s="119" t="s">
        <v>234</v>
      </c>
      <c r="J16" s="118" t="s">
        <v>218</v>
      </c>
      <c r="K16" s="78" t="s">
        <v>56</v>
      </c>
      <c r="L16" s="76" t="s">
        <v>235</v>
      </c>
    </row>
    <row r="17" spans="1:16" s="4" customFormat="1" outlineLevel="1">
      <c r="A17"/>
      <c r="B17"/>
      <c r="C17"/>
      <c r="D17"/>
      <c r="E17"/>
      <c r="F17"/>
      <c r="G17"/>
      <c r="H17"/>
      <c r="I17"/>
      <c r="J17"/>
      <c r="K17" s="94"/>
      <c r="L17" s="92"/>
    </row>
    <row r="18" spans="1:16" s="4" customFormat="1" outlineLevel="1">
      <c r="A18"/>
      <c r="B18"/>
      <c r="C18"/>
      <c r="D18"/>
      <c r="E18"/>
      <c r="F18"/>
      <c r="G18"/>
      <c r="H18"/>
      <c r="I18"/>
      <c r="J18"/>
      <c r="K18" s="94"/>
      <c r="L18" s="92"/>
    </row>
    <row r="19" spans="1:16" s="4" customFormat="1">
      <c r="A19"/>
      <c r="B19"/>
      <c r="C19"/>
      <c r="D19"/>
      <c r="E19"/>
      <c r="F19"/>
      <c r="G19"/>
      <c r="H19"/>
      <c r="I19"/>
      <c r="J19"/>
      <c r="K19" s="94"/>
      <c r="L19" s="92"/>
    </row>
    <row r="20" spans="1:16" s="84" customFormat="1" ht="228.75" customHeight="1" outlineLevel="1">
      <c r="A20"/>
      <c r="B20"/>
      <c r="C20"/>
      <c r="D20"/>
      <c r="E20"/>
      <c r="F20"/>
      <c r="G20"/>
      <c r="H20"/>
      <c r="I20"/>
      <c r="J20"/>
      <c r="K20" s="94"/>
      <c r="L20" s="92"/>
    </row>
    <row r="21" spans="1:16" s="84" customFormat="1" ht="207.75" customHeight="1" outlineLevel="1">
      <c r="A21"/>
      <c r="B21"/>
      <c r="C21"/>
      <c r="D21"/>
      <c r="E21"/>
      <c r="F21"/>
      <c r="G21"/>
      <c r="H21"/>
      <c r="I21"/>
      <c r="J21"/>
      <c r="K21" s="94"/>
      <c r="L21" s="92"/>
    </row>
    <row r="22" spans="1:16" s="84" customFormat="1" ht="255" customHeight="1" outlineLevel="1">
      <c r="A22"/>
      <c r="B22"/>
      <c r="C22"/>
      <c r="D22"/>
      <c r="E22"/>
      <c r="F22"/>
      <c r="G22"/>
      <c r="H22"/>
      <c r="I22"/>
      <c r="J22"/>
      <c r="K22" s="94"/>
      <c r="L22" s="92"/>
      <c r="M22" s="99"/>
      <c r="N22" s="99"/>
      <c r="O22" s="99"/>
      <c r="P22" s="99"/>
    </row>
    <row r="23" spans="1:16" s="84" customFormat="1" ht="276.75" customHeight="1" outlineLevel="1">
      <c r="A23"/>
      <c r="B23"/>
      <c r="C23"/>
      <c r="D23"/>
      <c r="E23"/>
      <c r="F23"/>
      <c r="G23"/>
      <c r="H23"/>
      <c r="I23"/>
      <c r="J23"/>
      <c r="K23" s="94"/>
      <c r="L23" s="92"/>
    </row>
    <row r="24" spans="1:16" s="4" customFormat="1" collapsed="1">
      <c r="A24"/>
      <c r="B24"/>
      <c r="C24"/>
      <c r="D24"/>
      <c r="E24"/>
      <c r="F24"/>
      <c r="G24"/>
      <c r="H24"/>
      <c r="I24"/>
      <c r="J24"/>
      <c r="K24" s="94"/>
      <c r="L24" s="92"/>
    </row>
    <row r="25" spans="1:16" s="4" customFormat="1" hidden="1" outlineLevel="1">
      <c r="A25"/>
      <c r="B25"/>
      <c r="C25"/>
      <c r="D25"/>
      <c r="E25"/>
      <c r="F25"/>
      <c r="G25"/>
      <c r="H25"/>
      <c r="I25"/>
      <c r="J25"/>
      <c r="K25" s="94"/>
      <c r="L25" s="92"/>
    </row>
    <row r="26" spans="1:16" s="84" customFormat="1" ht="70.5" hidden="1" customHeight="1" outlineLevel="1">
      <c r="A26"/>
      <c r="B26"/>
      <c r="C26"/>
      <c r="D26"/>
      <c r="E26"/>
      <c r="F26"/>
      <c r="G26"/>
      <c r="H26"/>
      <c r="I26"/>
      <c r="J26"/>
      <c r="K26" s="94"/>
      <c r="L26" s="92"/>
    </row>
    <row r="27" spans="1:16" s="84" customFormat="1" ht="87.75" hidden="1" customHeight="1" outlineLevel="1">
      <c r="A27"/>
      <c r="B27"/>
      <c r="C27"/>
      <c r="D27"/>
      <c r="E27"/>
      <c r="F27"/>
      <c r="G27"/>
      <c r="H27"/>
      <c r="I27"/>
      <c r="J27"/>
      <c r="K27" s="94"/>
      <c r="L27" s="92"/>
    </row>
    <row r="28" spans="1:16" s="84" customFormat="1" ht="87.75" hidden="1" customHeight="1" outlineLevel="1">
      <c r="A28"/>
      <c r="B28"/>
      <c r="C28"/>
      <c r="D28"/>
      <c r="E28"/>
      <c r="F28"/>
      <c r="G28"/>
      <c r="H28"/>
      <c r="I28"/>
      <c r="J28"/>
      <c r="K28" s="94"/>
      <c r="L28" s="92"/>
    </row>
    <row r="29" spans="1:16" s="84" customFormat="1" ht="59.25" hidden="1" customHeight="1" outlineLevel="1">
      <c r="A29"/>
      <c r="B29"/>
      <c r="C29"/>
      <c r="D29"/>
      <c r="E29"/>
      <c r="F29"/>
      <c r="G29"/>
      <c r="H29"/>
      <c r="I29"/>
      <c r="J29"/>
      <c r="K29" s="94"/>
      <c r="L29" s="92"/>
    </row>
    <row r="30" spans="1:16" s="84" customFormat="1" ht="56.25" hidden="1" customHeight="1" outlineLevel="1">
      <c r="A30"/>
      <c r="B30"/>
      <c r="C30"/>
      <c r="D30"/>
      <c r="E30"/>
      <c r="F30"/>
      <c r="G30"/>
      <c r="H30"/>
      <c r="I30"/>
      <c r="J30"/>
      <c r="K30" s="94"/>
      <c r="L30" s="92"/>
    </row>
    <row r="31" spans="1:16" s="84" customFormat="1" ht="87.75" hidden="1" customHeight="1" outlineLevel="1">
      <c r="A31"/>
      <c r="B31"/>
      <c r="C31"/>
      <c r="D31"/>
      <c r="E31"/>
      <c r="F31"/>
      <c r="G31"/>
      <c r="H31"/>
      <c r="I31"/>
      <c r="J31"/>
      <c r="K31" s="94"/>
      <c r="L31" s="92"/>
    </row>
    <row r="32" spans="1:16" s="84" customFormat="1" ht="62.25" hidden="1" customHeight="1" outlineLevel="1">
      <c r="A32"/>
      <c r="B32"/>
      <c r="C32"/>
      <c r="D32"/>
      <c r="E32"/>
      <c r="F32"/>
      <c r="G32"/>
      <c r="H32"/>
      <c r="I32"/>
      <c r="J32"/>
      <c r="K32" s="94"/>
      <c r="L32" s="92"/>
    </row>
    <row r="33" spans="1:12" s="4" customFormat="1" hidden="1" outlineLevel="1">
      <c r="A33"/>
      <c r="B33"/>
      <c r="C33"/>
      <c r="D33"/>
      <c r="E33"/>
      <c r="F33"/>
      <c r="G33"/>
      <c r="H33"/>
      <c r="I33"/>
      <c r="J33"/>
      <c r="K33" s="94"/>
      <c r="L33" s="92"/>
    </row>
    <row r="34" spans="1:12" s="84" customFormat="1" ht="87.75" hidden="1" customHeight="1" outlineLevel="1">
      <c r="A34"/>
      <c r="B34"/>
      <c r="C34"/>
      <c r="D34"/>
      <c r="E34"/>
      <c r="F34"/>
      <c r="G34"/>
      <c r="H34"/>
      <c r="I34"/>
      <c r="J34"/>
      <c r="K34" s="94"/>
      <c r="L34" s="92"/>
    </row>
    <row r="35" spans="1:12" s="4" customFormat="1" collapsed="1">
      <c r="A35"/>
      <c r="B35"/>
      <c r="C35"/>
      <c r="D35"/>
      <c r="E35"/>
      <c r="F35"/>
      <c r="G35"/>
      <c r="H35"/>
      <c r="I35"/>
      <c r="J35"/>
      <c r="K35" s="94"/>
      <c r="L35" s="92"/>
    </row>
    <row r="36" spans="1:12" s="84" customFormat="1" ht="101.25" hidden="1" customHeight="1" outlineLevel="1">
      <c r="A36"/>
      <c r="B36"/>
      <c r="C36"/>
      <c r="D36"/>
      <c r="E36"/>
      <c r="F36"/>
      <c r="G36"/>
      <c r="H36"/>
      <c r="I36"/>
      <c r="J36"/>
      <c r="K36" s="94"/>
      <c r="L36" s="92"/>
    </row>
    <row r="37" spans="1:12" s="84" customFormat="1" ht="96" hidden="1" customHeight="1" outlineLevel="1">
      <c r="A37"/>
      <c r="B37"/>
      <c r="C37"/>
      <c r="D37"/>
      <c r="E37"/>
      <c r="F37"/>
      <c r="G37"/>
      <c r="H37"/>
      <c r="I37"/>
      <c r="J37"/>
      <c r="K37" s="94"/>
      <c r="L37" s="92"/>
    </row>
    <row r="38" spans="1:12" s="84" customFormat="1" ht="96" hidden="1" customHeight="1" outlineLevel="1">
      <c r="A38"/>
      <c r="B38"/>
      <c r="C38"/>
      <c r="D38"/>
      <c r="E38"/>
      <c r="F38"/>
      <c r="G38"/>
      <c r="H38"/>
      <c r="I38"/>
      <c r="J38"/>
      <c r="K38" s="94"/>
      <c r="L38" s="92"/>
    </row>
    <row r="39" spans="1:12" s="4" customFormat="1" collapsed="1">
      <c r="A39"/>
      <c r="B39"/>
      <c r="C39"/>
      <c r="D39"/>
      <c r="E39"/>
      <c r="F39"/>
      <c r="G39"/>
      <c r="H39"/>
      <c r="I39"/>
      <c r="J39"/>
      <c r="K39" s="94"/>
      <c r="L39" s="92"/>
    </row>
    <row r="40" spans="1:12" s="84" customFormat="1" ht="27.75" hidden="1" customHeight="1" outlineLevel="1">
      <c r="A40"/>
      <c r="B40"/>
      <c r="C40"/>
      <c r="D40"/>
      <c r="E40"/>
      <c r="F40"/>
      <c r="G40"/>
      <c r="H40"/>
      <c r="I40"/>
      <c r="J40"/>
      <c r="K40" s="94"/>
      <c r="L40" s="92"/>
    </row>
    <row r="41" spans="1:12" s="84" customFormat="1" ht="27.75" hidden="1" customHeight="1" outlineLevel="1">
      <c r="A41"/>
      <c r="B41"/>
      <c r="C41"/>
      <c r="D41"/>
      <c r="E41"/>
      <c r="F41"/>
      <c r="G41"/>
      <c r="H41"/>
      <c r="I41"/>
      <c r="J41"/>
      <c r="K41" s="94"/>
      <c r="L41" s="92"/>
    </row>
    <row r="42" spans="1:12" s="84" customFormat="1" ht="81" hidden="1" customHeight="1" outlineLevel="1">
      <c r="A42"/>
      <c r="B42"/>
      <c r="C42"/>
      <c r="D42"/>
      <c r="E42"/>
      <c r="F42"/>
      <c r="G42"/>
      <c r="H42"/>
      <c r="I42"/>
      <c r="J42"/>
      <c r="K42" s="94"/>
      <c r="L42" s="92"/>
    </row>
    <row r="43" spans="1:12" s="4" customFormat="1">
      <c r="A43"/>
      <c r="B43"/>
      <c r="C43"/>
      <c r="D43"/>
      <c r="E43"/>
      <c r="F43"/>
      <c r="G43"/>
      <c r="H43"/>
      <c r="I43"/>
      <c r="J43"/>
      <c r="K43" s="94"/>
      <c r="L43" s="92"/>
    </row>
    <row r="44" spans="1:12" s="4" customFormat="1" outlineLevel="1">
      <c r="A44"/>
      <c r="B44"/>
      <c r="C44"/>
      <c r="D44"/>
      <c r="E44"/>
      <c r="F44"/>
      <c r="G44"/>
      <c r="H44"/>
      <c r="I44"/>
      <c r="J44"/>
      <c r="K44" s="94"/>
      <c r="L44" s="92"/>
    </row>
    <row r="45" spans="1:12" s="84" customFormat="1" ht="87.75" customHeight="1" outlineLevel="1">
      <c r="A45"/>
      <c r="B45"/>
      <c r="C45"/>
      <c r="D45"/>
      <c r="E45"/>
      <c r="F45"/>
      <c r="G45"/>
      <c r="H45"/>
      <c r="I45"/>
      <c r="J45"/>
      <c r="K45" s="94"/>
      <c r="L45" s="92"/>
    </row>
    <row r="46" spans="1:12" s="84" customFormat="1" ht="87.75" customHeight="1" outlineLevel="1">
      <c r="A46"/>
      <c r="B46"/>
      <c r="C46"/>
      <c r="D46"/>
      <c r="E46"/>
      <c r="F46"/>
      <c r="G46"/>
      <c r="H46"/>
      <c r="I46"/>
      <c r="J46"/>
      <c r="K46" s="94"/>
      <c r="L46" s="92"/>
    </row>
    <row r="47" spans="1:12" s="4" customFormat="1" outlineLevel="1">
      <c r="A47"/>
      <c r="B47"/>
      <c r="C47"/>
      <c r="D47"/>
      <c r="E47"/>
      <c r="F47"/>
      <c r="G47"/>
      <c r="H47"/>
      <c r="I47"/>
      <c r="J47"/>
      <c r="K47" s="94"/>
      <c r="L47" s="92"/>
    </row>
    <row r="48" spans="1:12" s="84" customFormat="1" ht="87.75" customHeight="1" outlineLevel="1">
      <c r="A48"/>
      <c r="B48"/>
      <c r="C48"/>
      <c r="D48"/>
      <c r="E48"/>
      <c r="F48"/>
      <c r="G48"/>
      <c r="H48"/>
      <c r="I48"/>
      <c r="J48"/>
      <c r="K48" s="94"/>
      <c r="L48" s="92"/>
    </row>
    <row r="49" spans="1:12" s="84" customFormat="1" ht="87.75" customHeight="1" outlineLevel="1">
      <c r="A49"/>
      <c r="B49"/>
      <c r="C49"/>
      <c r="D49"/>
      <c r="E49"/>
      <c r="F49"/>
      <c r="G49"/>
      <c r="H49"/>
      <c r="I49"/>
      <c r="J49"/>
      <c r="K49" s="94"/>
      <c r="L49" s="92"/>
    </row>
    <row r="50" spans="1:12" s="4" customFormat="1" outlineLevel="1">
      <c r="A50"/>
      <c r="B50"/>
      <c r="C50"/>
      <c r="D50"/>
      <c r="E50"/>
      <c r="F50"/>
      <c r="G50"/>
      <c r="H50"/>
      <c r="I50"/>
      <c r="J50"/>
      <c r="K50" s="94"/>
      <c r="L50" s="92"/>
    </row>
    <row r="51" spans="1:12" s="84" customFormat="1" ht="87.75" customHeight="1" outlineLevel="1">
      <c r="A51"/>
      <c r="B51"/>
      <c r="C51"/>
      <c r="D51"/>
      <c r="E51"/>
      <c r="F51"/>
      <c r="G51"/>
      <c r="H51"/>
      <c r="I51"/>
      <c r="J51"/>
      <c r="K51" s="94"/>
      <c r="L51" s="92"/>
    </row>
    <row r="52" spans="1:12" s="84" customFormat="1" ht="87.75" customHeight="1" outlineLevel="1">
      <c r="A52"/>
      <c r="B52"/>
      <c r="C52"/>
      <c r="D52"/>
      <c r="E52"/>
      <c r="F52"/>
      <c r="G52"/>
      <c r="H52"/>
      <c r="I52"/>
      <c r="J52"/>
      <c r="K52" s="94"/>
      <c r="L52" s="92"/>
    </row>
    <row r="53" spans="1:12" s="4" customFormat="1" outlineLevel="1">
      <c r="A53"/>
      <c r="B53"/>
      <c r="C53"/>
      <c r="D53"/>
      <c r="E53"/>
      <c r="F53"/>
      <c r="G53"/>
      <c r="H53"/>
      <c r="I53"/>
      <c r="J53"/>
      <c r="K53" s="94"/>
      <c r="L53" s="92"/>
    </row>
    <row r="54" spans="1:12" s="84" customFormat="1" ht="87.75" customHeight="1" outlineLevel="1">
      <c r="A54"/>
      <c r="B54"/>
      <c r="C54"/>
      <c r="D54"/>
      <c r="E54"/>
      <c r="F54"/>
      <c r="G54"/>
      <c r="H54"/>
      <c r="I54"/>
      <c r="J54"/>
      <c r="K54" s="94"/>
      <c r="L54" s="92"/>
    </row>
    <row r="55" spans="1:12" s="84" customFormat="1" ht="87.75" customHeight="1" outlineLevel="1">
      <c r="A55"/>
      <c r="B55"/>
      <c r="C55"/>
      <c r="D55"/>
      <c r="E55"/>
      <c r="F55"/>
      <c r="G55"/>
      <c r="H55"/>
      <c r="I55"/>
      <c r="J55"/>
      <c r="K55" s="94"/>
      <c r="L55" s="92"/>
    </row>
    <row r="56" spans="1:12" s="4" customFormat="1">
      <c r="A56"/>
      <c r="B56"/>
      <c r="C56"/>
      <c r="D56"/>
      <c r="E56"/>
      <c r="F56"/>
      <c r="G56"/>
      <c r="H56"/>
      <c r="I56"/>
      <c r="J56"/>
      <c r="K56" s="94"/>
      <c r="L56" s="92"/>
    </row>
    <row r="57" spans="1:12" s="84" customFormat="1" ht="87.75" customHeight="1" outlineLevel="1">
      <c r="A57"/>
      <c r="B57"/>
      <c r="C57"/>
      <c r="D57"/>
      <c r="E57"/>
      <c r="F57"/>
      <c r="G57"/>
      <c r="H57"/>
      <c r="I57"/>
      <c r="J57"/>
      <c r="K57" s="94"/>
      <c r="L57" s="92"/>
    </row>
    <row r="58" spans="1:12" s="84" customFormat="1" ht="87.75" customHeight="1" outlineLevel="1">
      <c r="A58"/>
      <c r="B58"/>
      <c r="C58"/>
      <c r="D58"/>
      <c r="E58"/>
      <c r="F58"/>
      <c r="G58"/>
      <c r="H58"/>
      <c r="I58"/>
      <c r="J58"/>
      <c r="K58" s="94"/>
      <c r="L58" s="92"/>
    </row>
    <row r="59" spans="1:12" ht="12" customHeight="1"/>
    <row r="60" spans="1:12" ht="12" customHeight="1"/>
    <row r="61" spans="1:12" ht="12" customHeight="1"/>
    <row r="62" spans="1:12" ht="12" customHeight="1"/>
    <row r="63" spans="1:12" ht="12" customHeight="1"/>
    <row r="64" spans="1:12"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sheetData>
  <mergeCells count="25">
    <mergeCell ref="B5:D5"/>
    <mergeCell ref="J5:L5"/>
    <mergeCell ref="B1:D2"/>
    <mergeCell ref="B3:D3"/>
    <mergeCell ref="J3:L3"/>
    <mergeCell ref="B4:D4"/>
    <mergeCell ref="J4:L4"/>
    <mergeCell ref="J6:L6"/>
    <mergeCell ref="J7:L7"/>
    <mergeCell ref="A8:D8"/>
    <mergeCell ref="A9:A10"/>
    <mergeCell ref="B9:B10"/>
    <mergeCell ref="C9:C10"/>
    <mergeCell ref="D9:G10"/>
    <mergeCell ref="J9:J10"/>
    <mergeCell ref="K9:K10"/>
    <mergeCell ref="L9:L10"/>
    <mergeCell ref="H9:H10"/>
    <mergeCell ref="I9:I10"/>
    <mergeCell ref="D16:F16"/>
    <mergeCell ref="A14:C14"/>
    <mergeCell ref="D15:F15"/>
    <mergeCell ref="A11:L11"/>
    <mergeCell ref="A12:L12"/>
    <mergeCell ref="D13:F13"/>
  </mergeCells>
  <hyperlinks>
    <hyperlink ref="I13" r:id="rId1" display="Email=user@example.com; Password=Pass123" xr:uid="{7EC8F71D-82B8-4DFA-AD30-A594BC7822CA}"/>
    <hyperlink ref="I15" r:id="rId2" xr:uid="{27A0C3B7-3027-4745-9ECA-0D96DB0B7E83}"/>
    <hyperlink ref="I16" r:id="rId3" xr:uid="{263C448F-9638-4C3E-A4B3-E777CD424CD7}"/>
  </hyperlinks>
  <pageMargins left="0.75" right="0.75" top="1" bottom="1" header="0.5" footer="0.5"/>
  <pageSetup orientation="portrait" horizontalDpi="300" verticalDpi="300" r:id="rId4"/>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AD88-7B79-4197-8B74-15614BCADE99}">
  <sheetPr>
    <outlinePr summaryBelow="0" summaryRight="0"/>
  </sheetPr>
  <dimension ref="A1:P95"/>
  <sheetViews>
    <sheetView zoomScale="130" zoomScaleNormal="130" workbookViewId="0">
      <selection activeCell="A8" sqref="A8:D8"/>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25.5546875" customWidth="1"/>
    <col min="9" max="9" width="24.77734375" customWidth="1"/>
    <col min="10" max="10" width="17.21875" customWidth="1"/>
    <col min="11" max="11" width="8.88671875" style="94"/>
    <col min="12" max="12" width="38.44140625" style="92" customWidth="1"/>
  </cols>
  <sheetData>
    <row r="1" spans="1:13" s="2" customFormat="1" ht="12.75" customHeight="1">
      <c r="A1" s="58" t="s">
        <v>22</v>
      </c>
      <c r="B1" s="145"/>
      <c r="C1" s="145"/>
      <c r="D1" s="145"/>
      <c r="E1" s="6"/>
      <c r="F1" s="6"/>
      <c r="G1" s="6"/>
      <c r="H1" s="6"/>
      <c r="I1" s="6"/>
      <c r="J1" s="6"/>
      <c r="K1" s="108"/>
      <c r="L1" s="6"/>
      <c r="M1" s="7"/>
    </row>
    <row r="2" spans="1:13" s="2" customFormat="1" ht="11.25" customHeight="1" thickBot="1">
      <c r="A2" s="7"/>
      <c r="B2" s="146"/>
      <c r="C2" s="146"/>
      <c r="D2" s="146"/>
      <c r="E2" s="6"/>
      <c r="F2" s="6"/>
      <c r="G2" s="6"/>
      <c r="H2" s="6"/>
      <c r="I2" s="6"/>
      <c r="J2" s="6"/>
      <c r="K2" s="108"/>
      <c r="L2" s="6"/>
      <c r="M2" s="7"/>
    </row>
    <row r="3" spans="1:13" s="3" customFormat="1" ht="15" customHeight="1">
      <c r="A3" s="59" t="s">
        <v>54</v>
      </c>
      <c r="B3" s="121" t="s">
        <v>206</v>
      </c>
      <c r="C3" s="121"/>
      <c r="D3" s="122"/>
      <c r="E3" s="62"/>
      <c r="F3" s="62"/>
      <c r="G3" s="62"/>
      <c r="H3" s="62"/>
      <c r="I3" s="62"/>
      <c r="J3" s="133"/>
      <c r="K3" s="133"/>
      <c r="L3" s="133"/>
      <c r="M3" s="9"/>
    </row>
    <row r="4" spans="1:13" s="3" customFormat="1" ht="13.2">
      <c r="A4" s="64" t="s">
        <v>55</v>
      </c>
      <c r="B4" s="147" t="s">
        <v>236</v>
      </c>
      <c r="C4" s="148"/>
      <c r="D4" s="149"/>
      <c r="E4" s="62"/>
      <c r="F4" s="62"/>
      <c r="G4" s="62"/>
      <c r="H4" s="62"/>
      <c r="I4" s="62"/>
      <c r="J4" s="133"/>
      <c r="K4" s="133"/>
      <c r="L4" s="133"/>
      <c r="M4" s="9"/>
    </row>
    <row r="5" spans="1:13" s="72" customFormat="1" ht="26.4">
      <c r="A5" s="64" t="s">
        <v>48</v>
      </c>
      <c r="B5" s="150" t="s">
        <v>237</v>
      </c>
      <c r="C5" s="151"/>
      <c r="D5" s="152"/>
      <c r="E5" s="70"/>
      <c r="F5" s="70"/>
      <c r="G5" s="70"/>
      <c r="H5" s="70"/>
      <c r="I5" s="70"/>
      <c r="J5" s="153"/>
      <c r="K5" s="153"/>
      <c r="L5" s="153"/>
      <c r="M5" s="71"/>
    </row>
    <row r="6" spans="1:13" s="3" customFormat="1" ht="15" customHeight="1">
      <c r="A6" s="12" t="s">
        <v>56</v>
      </c>
      <c r="B6" s="86">
        <f>COUNTIF(K12:K15,"Pass")</f>
        <v>3</v>
      </c>
      <c r="C6" s="10" t="s">
        <v>57</v>
      </c>
      <c r="D6" s="13">
        <f>COUNTIF(K10:K734,"Pending")</f>
        <v>0</v>
      </c>
      <c r="E6" s="113"/>
      <c r="F6" s="113"/>
      <c r="G6" s="113"/>
      <c r="H6" s="113"/>
      <c r="I6" s="113"/>
      <c r="J6" s="133"/>
      <c r="K6" s="133"/>
      <c r="L6" s="133"/>
      <c r="M6" s="9"/>
    </row>
    <row r="7" spans="1:13" s="3" customFormat="1" ht="15" customHeight="1" thickBot="1">
      <c r="A7" s="14" t="s">
        <v>20</v>
      </c>
      <c r="B7" s="87">
        <f>COUNTIF(K12:K15,"Fail")</f>
        <v>0</v>
      </c>
      <c r="C7" s="29" t="s">
        <v>46</v>
      </c>
      <c r="D7" s="60">
        <f>COUNTA(A13:A15)</f>
        <v>3</v>
      </c>
      <c r="E7" s="63"/>
      <c r="F7" s="63"/>
      <c r="G7" s="63"/>
      <c r="H7" s="63"/>
      <c r="I7" s="63"/>
      <c r="J7" s="133"/>
      <c r="K7" s="133"/>
      <c r="L7" s="133"/>
      <c r="M7" s="9"/>
    </row>
    <row r="8" spans="1:13" s="3" customFormat="1" ht="15" customHeight="1">
      <c r="A8" s="134"/>
      <c r="B8" s="134"/>
      <c r="C8" s="134"/>
      <c r="D8" s="134"/>
      <c r="E8" s="113"/>
      <c r="F8" s="113"/>
      <c r="G8" s="113"/>
      <c r="H8" s="113"/>
      <c r="I8" s="113"/>
      <c r="J8" s="113"/>
      <c r="K8" s="109"/>
      <c r="L8" s="109"/>
      <c r="M8" s="9"/>
    </row>
    <row r="9" spans="1:13" s="74" customFormat="1" ht="12" customHeight="1">
      <c r="A9" s="124" t="s">
        <v>49</v>
      </c>
      <c r="B9" s="136" t="s">
        <v>23</v>
      </c>
      <c r="C9" s="124" t="s">
        <v>34</v>
      </c>
      <c r="D9" s="138" t="s">
        <v>47</v>
      </c>
      <c r="E9" s="139"/>
      <c r="F9" s="139"/>
      <c r="G9" s="140"/>
      <c r="H9" s="123" t="s">
        <v>211</v>
      </c>
      <c r="I9" s="123" t="s">
        <v>193</v>
      </c>
      <c r="J9" s="144" t="s">
        <v>45</v>
      </c>
      <c r="K9" s="135" t="s">
        <v>24</v>
      </c>
      <c r="L9" s="135" t="s">
        <v>50</v>
      </c>
      <c r="M9" s="73"/>
    </row>
    <row r="10" spans="1:13" s="3" customFormat="1" ht="12" customHeight="1">
      <c r="A10" s="135"/>
      <c r="B10" s="137"/>
      <c r="C10" s="135"/>
      <c r="D10" s="141"/>
      <c r="E10" s="142"/>
      <c r="F10" s="142"/>
      <c r="G10" s="143"/>
      <c r="H10" s="124"/>
      <c r="I10" s="124"/>
      <c r="J10" s="141"/>
      <c r="K10" s="135"/>
      <c r="L10" s="135"/>
      <c r="M10" s="9"/>
    </row>
    <row r="11" spans="1:13" s="75" customFormat="1" ht="15">
      <c r="A11" s="127"/>
      <c r="B11" s="127"/>
      <c r="C11" s="127"/>
      <c r="D11" s="127"/>
      <c r="E11" s="127"/>
      <c r="F11" s="127"/>
      <c r="G11" s="127"/>
      <c r="H11" s="127"/>
      <c r="I11" s="127"/>
      <c r="J11" s="127"/>
      <c r="K11" s="127"/>
      <c r="L11" s="128"/>
    </row>
    <row r="12" spans="1:13" s="4" customFormat="1" ht="13.2">
      <c r="A12" s="129" t="s">
        <v>210</v>
      </c>
      <c r="B12" s="130"/>
      <c r="C12" s="130"/>
      <c r="D12" s="130"/>
      <c r="E12" s="130"/>
      <c r="F12" s="130"/>
      <c r="G12" s="130"/>
      <c r="H12" s="130"/>
      <c r="I12" s="130"/>
      <c r="J12" s="130"/>
      <c r="K12" s="130"/>
      <c r="L12" s="131"/>
    </row>
    <row r="13" spans="1:13" s="4" customFormat="1" ht="79.2" customHeight="1" outlineLevel="1">
      <c r="A13" s="79" t="s">
        <v>243</v>
      </c>
      <c r="B13" s="88" t="s">
        <v>238</v>
      </c>
      <c r="C13" s="78" t="s">
        <v>239</v>
      </c>
      <c r="D13" s="132" t="s">
        <v>240</v>
      </c>
      <c r="E13" s="126"/>
      <c r="F13" s="126" t="s">
        <v>217</v>
      </c>
      <c r="G13" s="77"/>
      <c r="H13" s="112" t="s">
        <v>241</v>
      </c>
      <c r="I13" s="78" t="s">
        <v>242</v>
      </c>
      <c r="J13" s="118" t="s">
        <v>218</v>
      </c>
      <c r="K13" s="78" t="s">
        <v>56</v>
      </c>
      <c r="L13" s="76"/>
    </row>
    <row r="14" spans="1:13" s="4" customFormat="1" ht="63.75" customHeight="1" outlineLevel="1">
      <c r="A14" s="79" t="s">
        <v>244</v>
      </c>
      <c r="B14" s="95" t="s">
        <v>246</v>
      </c>
      <c r="C14" s="96" t="s">
        <v>257</v>
      </c>
      <c r="D14" s="125" t="s">
        <v>247</v>
      </c>
      <c r="E14" s="156"/>
      <c r="F14" s="156"/>
      <c r="G14" s="77"/>
      <c r="H14" s="112" t="s">
        <v>248</v>
      </c>
      <c r="I14" s="78" t="s">
        <v>249</v>
      </c>
      <c r="J14" s="118" t="s">
        <v>218</v>
      </c>
      <c r="K14" s="78" t="s">
        <v>56</v>
      </c>
      <c r="L14" s="76" t="s">
        <v>261</v>
      </c>
    </row>
    <row r="15" spans="1:13" s="4" customFormat="1" ht="63.75" customHeight="1" outlineLevel="1">
      <c r="A15" s="79" t="s">
        <v>245</v>
      </c>
      <c r="B15" s="95" t="s">
        <v>255</v>
      </c>
      <c r="C15" s="96" t="s">
        <v>256</v>
      </c>
      <c r="D15" s="125" t="s">
        <v>258</v>
      </c>
      <c r="E15" s="156"/>
      <c r="F15" s="156"/>
      <c r="G15" s="77"/>
      <c r="H15" s="112" t="s">
        <v>259</v>
      </c>
      <c r="I15" s="78" t="s">
        <v>260</v>
      </c>
      <c r="J15" s="118" t="s">
        <v>218</v>
      </c>
      <c r="K15" s="78" t="s">
        <v>56</v>
      </c>
      <c r="L15" s="76" t="s">
        <v>261</v>
      </c>
    </row>
    <row r="16" spans="1:13" s="4" customFormat="1" outlineLevel="1">
      <c r="A16"/>
      <c r="B16"/>
      <c r="C16"/>
      <c r="D16"/>
      <c r="E16"/>
      <c r="F16"/>
      <c r="G16"/>
      <c r="H16"/>
      <c r="I16"/>
      <c r="J16"/>
      <c r="K16" s="94"/>
      <c r="L16" s="92"/>
    </row>
    <row r="17" spans="1:16" s="4" customFormat="1" outlineLevel="1">
      <c r="A17"/>
      <c r="B17"/>
      <c r="C17"/>
      <c r="D17"/>
      <c r="E17"/>
      <c r="F17"/>
      <c r="G17"/>
      <c r="H17"/>
      <c r="I17"/>
      <c r="J17"/>
      <c r="K17" s="94"/>
      <c r="L17" s="92"/>
    </row>
    <row r="18" spans="1:16" s="4" customFormat="1">
      <c r="A18"/>
      <c r="B18"/>
      <c r="C18"/>
      <c r="D18"/>
      <c r="E18"/>
      <c r="F18"/>
      <c r="G18"/>
      <c r="H18"/>
      <c r="I18"/>
      <c r="J18"/>
      <c r="K18" s="94"/>
      <c r="L18" s="92"/>
    </row>
    <row r="19" spans="1:16" s="84" customFormat="1" ht="228.75" customHeight="1" outlineLevel="1">
      <c r="A19"/>
      <c r="B19"/>
      <c r="C19"/>
      <c r="D19"/>
      <c r="E19"/>
      <c r="F19"/>
      <c r="G19"/>
      <c r="H19"/>
      <c r="I19"/>
      <c r="J19"/>
      <c r="K19" s="94"/>
      <c r="L19" s="92"/>
    </row>
    <row r="20" spans="1:16" s="84" customFormat="1" ht="207.75" customHeight="1" outlineLevel="1">
      <c r="A20"/>
      <c r="B20"/>
      <c r="C20"/>
      <c r="D20"/>
      <c r="E20"/>
      <c r="F20"/>
      <c r="G20"/>
      <c r="H20"/>
      <c r="I20"/>
      <c r="J20"/>
      <c r="K20" s="94"/>
      <c r="L20" s="92"/>
    </row>
    <row r="21" spans="1:16" s="84" customFormat="1" ht="255" customHeight="1" outlineLevel="1">
      <c r="A21"/>
      <c r="B21"/>
      <c r="C21"/>
      <c r="D21"/>
      <c r="E21"/>
      <c r="F21"/>
      <c r="G21"/>
      <c r="H21"/>
      <c r="I21"/>
      <c r="J21"/>
      <c r="K21" s="94"/>
      <c r="L21" s="92"/>
      <c r="M21" s="99"/>
      <c r="N21" s="99"/>
      <c r="O21" s="99"/>
      <c r="P21" s="99"/>
    </row>
    <row r="22" spans="1:16" s="84" customFormat="1" ht="276.75" customHeight="1" outlineLevel="1">
      <c r="A22"/>
      <c r="B22"/>
      <c r="C22"/>
      <c r="D22"/>
      <c r="E22"/>
      <c r="F22"/>
      <c r="G22"/>
      <c r="H22"/>
      <c r="I22"/>
      <c r="J22"/>
      <c r="K22" s="94"/>
      <c r="L22" s="92"/>
    </row>
    <row r="23" spans="1:16" s="4" customFormat="1" collapsed="1">
      <c r="A23"/>
      <c r="B23"/>
      <c r="C23"/>
      <c r="D23"/>
      <c r="E23"/>
      <c r="F23"/>
      <c r="G23"/>
      <c r="H23"/>
      <c r="I23"/>
      <c r="J23"/>
      <c r="K23" s="94"/>
      <c r="L23" s="92"/>
    </row>
    <row r="24" spans="1:16" s="4" customFormat="1" hidden="1" outlineLevel="1">
      <c r="A24"/>
      <c r="B24"/>
      <c r="C24"/>
      <c r="D24"/>
      <c r="E24"/>
      <c r="F24"/>
      <c r="G24"/>
      <c r="H24"/>
      <c r="I24"/>
      <c r="J24"/>
      <c r="K24" s="94"/>
      <c r="L24" s="92"/>
    </row>
    <row r="25" spans="1:16" s="84" customFormat="1" ht="70.5" hidden="1" customHeight="1" outlineLevel="1">
      <c r="A25"/>
      <c r="B25"/>
      <c r="C25"/>
      <c r="D25"/>
      <c r="E25"/>
      <c r="F25"/>
      <c r="G25"/>
      <c r="H25"/>
      <c r="I25"/>
      <c r="J25"/>
      <c r="K25" s="94"/>
      <c r="L25" s="92"/>
    </row>
    <row r="26" spans="1:16" s="84" customFormat="1" ht="87.75" hidden="1" customHeight="1" outlineLevel="1">
      <c r="A26"/>
      <c r="B26"/>
      <c r="C26"/>
      <c r="D26"/>
      <c r="E26"/>
      <c r="F26"/>
      <c r="G26"/>
      <c r="H26"/>
      <c r="I26"/>
      <c r="J26"/>
      <c r="K26" s="94"/>
      <c r="L26" s="92"/>
    </row>
    <row r="27" spans="1:16" s="84" customFormat="1" ht="87.75" hidden="1" customHeight="1" outlineLevel="1">
      <c r="A27"/>
      <c r="B27"/>
      <c r="C27"/>
      <c r="D27"/>
      <c r="E27"/>
      <c r="F27"/>
      <c r="G27"/>
      <c r="H27"/>
      <c r="I27"/>
      <c r="J27"/>
      <c r="K27" s="94"/>
      <c r="L27" s="92"/>
    </row>
    <row r="28" spans="1:16" s="84" customFormat="1" ht="59.25" hidden="1" customHeight="1" outlineLevel="1">
      <c r="A28"/>
      <c r="B28"/>
      <c r="C28"/>
      <c r="D28"/>
      <c r="E28"/>
      <c r="F28"/>
      <c r="G28"/>
      <c r="H28"/>
      <c r="I28"/>
      <c r="J28"/>
      <c r="K28" s="94"/>
      <c r="L28" s="92"/>
    </row>
    <row r="29" spans="1:16" s="84" customFormat="1" ht="56.25" hidden="1" customHeight="1" outlineLevel="1">
      <c r="A29"/>
      <c r="B29"/>
      <c r="C29"/>
      <c r="D29"/>
      <c r="E29"/>
      <c r="F29"/>
      <c r="G29"/>
      <c r="H29"/>
      <c r="I29"/>
      <c r="J29"/>
      <c r="K29" s="94"/>
      <c r="L29" s="92"/>
    </row>
    <row r="30" spans="1:16" s="84" customFormat="1" ht="87.75" hidden="1" customHeight="1" outlineLevel="1">
      <c r="A30"/>
      <c r="B30"/>
      <c r="C30"/>
      <c r="D30"/>
      <c r="E30"/>
      <c r="F30"/>
      <c r="G30"/>
      <c r="H30"/>
      <c r="I30"/>
      <c r="J30"/>
      <c r="K30" s="94"/>
      <c r="L30" s="92"/>
    </row>
    <row r="31" spans="1:16" s="84" customFormat="1" ht="62.25" hidden="1" customHeight="1" outlineLevel="1">
      <c r="A31"/>
      <c r="B31"/>
      <c r="C31"/>
      <c r="D31"/>
      <c r="E31"/>
      <c r="F31"/>
      <c r="G31"/>
      <c r="H31"/>
      <c r="I31"/>
      <c r="J31"/>
      <c r="K31" s="94"/>
      <c r="L31" s="92"/>
    </row>
    <row r="32" spans="1:16" s="4" customFormat="1" hidden="1" outlineLevel="1">
      <c r="A32"/>
      <c r="B32"/>
      <c r="C32"/>
      <c r="D32"/>
      <c r="E32"/>
      <c r="F32"/>
      <c r="G32"/>
      <c r="H32"/>
      <c r="I32"/>
      <c r="J32"/>
      <c r="K32" s="94"/>
      <c r="L32" s="92"/>
    </row>
    <row r="33" spans="1:12" s="84" customFormat="1" ht="87.75" hidden="1" customHeight="1" outlineLevel="1">
      <c r="A33"/>
      <c r="B33"/>
      <c r="C33"/>
      <c r="D33"/>
      <c r="E33"/>
      <c r="F33"/>
      <c r="G33"/>
      <c r="H33"/>
      <c r="I33"/>
      <c r="J33"/>
      <c r="K33" s="94"/>
      <c r="L33" s="92"/>
    </row>
    <row r="34" spans="1:12" s="4" customFormat="1" collapsed="1">
      <c r="A34"/>
      <c r="B34"/>
      <c r="C34"/>
      <c r="D34"/>
      <c r="E34"/>
      <c r="F34"/>
      <c r="G34"/>
      <c r="H34"/>
      <c r="I34"/>
      <c r="J34"/>
      <c r="K34" s="94"/>
      <c r="L34" s="92"/>
    </row>
    <row r="35" spans="1:12" s="84" customFormat="1" ht="101.25" hidden="1" customHeight="1" outlineLevel="1">
      <c r="A35"/>
      <c r="B35"/>
      <c r="C35"/>
      <c r="D35"/>
      <c r="E35"/>
      <c r="F35"/>
      <c r="G35"/>
      <c r="H35"/>
      <c r="I35"/>
      <c r="J35"/>
      <c r="K35" s="94"/>
      <c r="L35" s="92"/>
    </row>
    <row r="36" spans="1:12" s="84" customFormat="1" ht="96" hidden="1" customHeight="1" outlineLevel="1">
      <c r="A36"/>
      <c r="B36"/>
      <c r="C36"/>
      <c r="D36"/>
      <c r="E36"/>
      <c r="F36"/>
      <c r="G36"/>
      <c r="H36"/>
      <c r="I36"/>
      <c r="J36"/>
      <c r="K36" s="94"/>
      <c r="L36" s="92"/>
    </row>
    <row r="37" spans="1:12" s="84" customFormat="1" ht="96" hidden="1" customHeight="1" outlineLevel="1">
      <c r="A37"/>
      <c r="B37"/>
      <c r="C37"/>
      <c r="D37"/>
      <c r="E37"/>
      <c r="F37"/>
      <c r="G37"/>
      <c r="H37"/>
      <c r="I37"/>
      <c r="J37"/>
      <c r="K37" s="94"/>
      <c r="L37" s="92"/>
    </row>
    <row r="38" spans="1:12" s="4" customFormat="1" collapsed="1">
      <c r="A38"/>
      <c r="B38"/>
      <c r="C38"/>
      <c r="D38"/>
      <c r="E38"/>
      <c r="F38"/>
      <c r="G38"/>
      <c r="H38"/>
      <c r="I38"/>
      <c r="J38"/>
      <c r="K38" s="94"/>
      <c r="L38" s="92"/>
    </row>
    <row r="39" spans="1:12" s="84" customFormat="1" ht="27.75" hidden="1" customHeight="1" outlineLevel="1">
      <c r="A39"/>
      <c r="B39"/>
      <c r="C39"/>
      <c r="D39"/>
      <c r="E39"/>
      <c r="F39"/>
      <c r="G39"/>
      <c r="H39"/>
      <c r="I39"/>
      <c r="J39"/>
      <c r="K39" s="94"/>
      <c r="L39" s="92"/>
    </row>
    <row r="40" spans="1:12" s="84" customFormat="1" ht="27.75" hidden="1" customHeight="1" outlineLevel="1">
      <c r="A40"/>
      <c r="B40"/>
      <c r="C40"/>
      <c r="D40"/>
      <c r="E40"/>
      <c r="F40"/>
      <c r="G40"/>
      <c r="H40"/>
      <c r="I40"/>
      <c r="J40"/>
      <c r="K40" s="94"/>
      <c r="L40" s="92"/>
    </row>
    <row r="41" spans="1:12" s="84" customFormat="1" ht="81" hidden="1" customHeight="1" outlineLevel="1">
      <c r="A41"/>
      <c r="B41"/>
      <c r="C41"/>
      <c r="D41"/>
      <c r="E41"/>
      <c r="F41"/>
      <c r="G41"/>
      <c r="H41"/>
      <c r="I41"/>
      <c r="J41"/>
      <c r="K41" s="94"/>
      <c r="L41" s="92"/>
    </row>
    <row r="42" spans="1:12" s="4" customFormat="1">
      <c r="A42"/>
      <c r="B42"/>
      <c r="C42"/>
      <c r="D42"/>
      <c r="E42"/>
      <c r="F42"/>
      <c r="G42"/>
      <c r="H42"/>
      <c r="I42"/>
      <c r="J42"/>
      <c r="K42" s="94"/>
      <c r="L42" s="92"/>
    </row>
    <row r="43" spans="1:12" s="4" customFormat="1" outlineLevel="1">
      <c r="A43"/>
      <c r="B43"/>
      <c r="C43"/>
      <c r="D43"/>
      <c r="E43"/>
      <c r="F43"/>
      <c r="G43"/>
      <c r="H43"/>
      <c r="I43"/>
      <c r="J43"/>
      <c r="K43" s="94"/>
      <c r="L43" s="92"/>
    </row>
    <row r="44" spans="1:12" s="84" customFormat="1" ht="87.75" customHeight="1" outlineLevel="1">
      <c r="A44"/>
      <c r="B44"/>
      <c r="C44"/>
      <c r="D44"/>
      <c r="E44"/>
      <c r="F44"/>
      <c r="G44"/>
      <c r="H44"/>
      <c r="I44"/>
      <c r="J44"/>
      <c r="K44" s="94"/>
      <c r="L44" s="92"/>
    </row>
    <row r="45" spans="1:12" s="84" customFormat="1" ht="87.75" customHeight="1" outlineLevel="1">
      <c r="A45"/>
      <c r="B45"/>
      <c r="C45"/>
      <c r="D45"/>
      <c r="E45"/>
      <c r="F45"/>
      <c r="G45"/>
      <c r="H45"/>
      <c r="I45"/>
      <c r="J45"/>
      <c r="K45" s="94"/>
      <c r="L45" s="92"/>
    </row>
    <row r="46" spans="1:12" s="4" customFormat="1" outlineLevel="1">
      <c r="A46"/>
      <c r="B46"/>
      <c r="C46"/>
      <c r="D46"/>
      <c r="E46"/>
      <c r="F46"/>
      <c r="G46"/>
      <c r="H46"/>
      <c r="I46"/>
      <c r="J46"/>
      <c r="K46" s="94"/>
      <c r="L46" s="92"/>
    </row>
    <row r="47" spans="1:12" s="84" customFormat="1" ht="87.75" customHeight="1" outlineLevel="1">
      <c r="A47"/>
      <c r="B47"/>
      <c r="C47"/>
      <c r="D47"/>
      <c r="E47"/>
      <c r="F47"/>
      <c r="G47"/>
      <c r="H47"/>
      <c r="I47"/>
      <c r="J47"/>
      <c r="K47" s="94"/>
      <c r="L47" s="92"/>
    </row>
    <row r="48" spans="1:12" s="84" customFormat="1" ht="87.75" customHeight="1" outlineLevel="1">
      <c r="A48"/>
      <c r="B48"/>
      <c r="C48"/>
      <c r="D48"/>
      <c r="E48"/>
      <c r="F48"/>
      <c r="G48"/>
      <c r="H48"/>
      <c r="I48"/>
      <c r="J48"/>
      <c r="K48" s="94"/>
      <c r="L48" s="92"/>
    </row>
    <row r="49" spans="1:12" s="4" customFormat="1" outlineLevel="1">
      <c r="A49"/>
      <c r="B49"/>
      <c r="C49"/>
      <c r="D49"/>
      <c r="E49"/>
      <c r="F49"/>
      <c r="G49"/>
      <c r="H49"/>
      <c r="I49"/>
      <c r="J49"/>
      <c r="K49" s="94"/>
      <c r="L49" s="92"/>
    </row>
    <row r="50" spans="1:12" s="84" customFormat="1" ht="87.75" customHeight="1" outlineLevel="1">
      <c r="A50"/>
      <c r="B50"/>
      <c r="C50"/>
      <c r="D50"/>
      <c r="E50"/>
      <c r="F50"/>
      <c r="G50"/>
      <c r="H50"/>
      <c r="I50"/>
      <c r="J50"/>
      <c r="K50" s="94"/>
      <c r="L50" s="92"/>
    </row>
    <row r="51" spans="1:12" s="84" customFormat="1" ht="87.75" customHeight="1" outlineLevel="1">
      <c r="A51"/>
      <c r="B51"/>
      <c r="C51"/>
      <c r="D51"/>
      <c r="E51"/>
      <c r="F51"/>
      <c r="G51"/>
      <c r="H51"/>
      <c r="I51"/>
      <c r="J51"/>
      <c r="K51" s="94"/>
      <c r="L51" s="92"/>
    </row>
    <row r="52" spans="1:12" s="4" customFormat="1" outlineLevel="1">
      <c r="A52"/>
      <c r="B52"/>
      <c r="C52"/>
      <c r="D52"/>
      <c r="E52"/>
      <c r="F52"/>
      <c r="G52"/>
      <c r="H52"/>
      <c r="I52"/>
      <c r="J52"/>
      <c r="K52" s="94"/>
      <c r="L52" s="92"/>
    </row>
    <row r="53" spans="1:12" s="84" customFormat="1" ht="87.75" customHeight="1" outlineLevel="1">
      <c r="A53"/>
      <c r="B53"/>
      <c r="C53"/>
      <c r="D53"/>
      <c r="E53"/>
      <c r="F53"/>
      <c r="G53"/>
      <c r="H53"/>
      <c r="I53"/>
      <c r="J53"/>
      <c r="K53" s="94"/>
      <c r="L53" s="92"/>
    </row>
    <row r="54" spans="1:12" s="84" customFormat="1" ht="87.75" customHeight="1" outlineLevel="1">
      <c r="A54"/>
      <c r="B54"/>
      <c r="C54"/>
      <c r="D54"/>
      <c r="E54"/>
      <c r="F54"/>
      <c r="G54"/>
      <c r="H54"/>
      <c r="I54"/>
      <c r="J54"/>
      <c r="K54" s="94"/>
      <c r="L54" s="92"/>
    </row>
    <row r="55" spans="1:12" s="4" customFormat="1">
      <c r="A55"/>
      <c r="B55"/>
      <c r="C55"/>
      <c r="D55"/>
      <c r="E55"/>
      <c r="F55"/>
      <c r="G55"/>
      <c r="H55"/>
      <c r="I55"/>
      <c r="J55"/>
      <c r="K55" s="94"/>
      <c r="L55" s="92"/>
    </row>
    <row r="56" spans="1:12" s="84" customFormat="1" ht="87.75" customHeight="1" outlineLevel="1">
      <c r="A56"/>
      <c r="B56"/>
      <c r="C56"/>
      <c r="D56"/>
      <c r="E56"/>
      <c r="F56"/>
      <c r="G56"/>
      <c r="H56"/>
      <c r="I56"/>
      <c r="J56"/>
      <c r="K56" s="94"/>
      <c r="L56" s="92"/>
    </row>
    <row r="57" spans="1:12" s="84" customFormat="1" ht="87.75" customHeight="1" outlineLevel="1">
      <c r="A57"/>
      <c r="B57"/>
      <c r="C57"/>
      <c r="D57"/>
      <c r="E57"/>
      <c r="F57"/>
      <c r="G57"/>
      <c r="H57"/>
      <c r="I57"/>
      <c r="J57"/>
      <c r="K57" s="94"/>
      <c r="L57" s="92"/>
    </row>
    <row r="58" spans="1:12" ht="12" customHeight="1"/>
    <row r="59" spans="1:12" ht="12" customHeight="1"/>
    <row r="60" spans="1:12" ht="12" customHeight="1"/>
    <row r="61" spans="1:12" ht="12" customHeight="1"/>
    <row r="62" spans="1:12" ht="12" customHeight="1"/>
    <row r="63" spans="1:12" ht="12" customHeight="1"/>
    <row r="64" spans="1:12"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sheetData>
  <mergeCells count="24">
    <mergeCell ref="B5:D5"/>
    <mergeCell ref="J5:L5"/>
    <mergeCell ref="B1:D2"/>
    <mergeCell ref="B3:D3"/>
    <mergeCell ref="J3:L3"/>
    <mergeCell ref="B4:D4"/>
    <mergeCell ref="J4:L4"/>
    <mergeCell ref="J6:L6"/>
    <mergeCell ref="J7:L7"/>
    <mergeCell ref="A8:D8"/>
    <mergeCell ref="A9:A10"/>
    <mergeCell ref="B9:B10"/>
    <mergeCell ref="C9:C10"/>
    <mergeCell ref="D9:G10"/>
    <mergeCell ref="H9:H10"/>
    <mergeCell ref="I9:I10"/>
    <mergeCell ref="J9:J10"/>
    <mergeCell ref="D14:F14"/>
    <mergeCell ref="D15:F15"/>
    <mergeCell ref="K9:K10"/>
    <mergeCell ref="L9:L10"/>
    <mergeCell ref="A11:L11"/>
    <mergeCell ref="A12:L12"/>
    <mergeCell ref="D13:F13"/>
  </mergeCells>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E37FA-1B10-46ED-98EE-8C9E03018E4F}">
  <sheetPr>
    <outlinePr summaryBelow="0" summaryRight="0"/>
  </sheetPr>
  <dimension ref="A1:P95"/>
  <sheetViews>
    <sheetView zoomScale="130" zoomScaleNormal="130" workbookViewId="0">
      <selection activeCell="C15" sqref="C15"/>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25.5546875" customWidth="1"/>
    <col min="9" max="9" width="24.77734375" customWidth="1"/>
    <col min="10" max="10" width="17.21875" customWidth="1"/>
    <col min="11" max="11" width="8.88671875" style="94"/>
    <col min="12" max="12" width="38.44140625" style="92" customWidth="1"/>
  </cols>
  <sheetData>
    <row r="1" spans="1:13" s="2" customFormat="1" ht="12.75" customHeight="1">
      <c r="A1" s="58" t="s">
        <v>22</v>
      </c>
      <c r="B1" s="145"/>
      <c r="C1" s="145"/>
      <c r="D1" s="145"/>
      <c r="E1" s="6"/>
      <c r="F1" s="6"/>
      <c r="G1" s="6"/>
      <c r="H1" s="6"/>
      <c r="I1" s="6"/>
      <c r="J1" s="6"/>
      <c r="K1" s="108"/>
      <c r="L1" s="6"/>
      <c r="M1" s="7"/>
    </row>
    <row r="2" spans="1:13" s="2" customFormat="1" ht="11.25" customHeight="1" thickBot="1">
      <c r="A2" s="7"/>
      <c r="B2" s="146"/>
      <c r="C2" s="146"/>
      <c r="D2" s="146"/>
      <c r="E2" s="6"/>
      <c r="F2" s="6"/>
      <c r="G2" s="6"/>
      <c r="H2" s="6"/>
      <c r="I2" s="6"/>
      <c r="J2" s="6"/>
      <c r="K2" s="108"/>
      <c r="L2" s="6"/>
      <c r="M2" s="7"/>
    </row>
    <row r="3" spans="1:13" s="3" customFormat="1" ht="15" customHeight="1">
      <c r="A3" s="59" t="s">
        <v>54</v>
      </c>
      <c r="B3" s="121" t="s">
        <v>262</v>
      </c>
      <c r="C3" s="121"/>
      <c r="D3" s="122"/>
      <c r="E3" s="62"/>
      <c r="F3" s="62"/>
      <c r="G3" s="62"/>
      <c r="H3" s="62"/>
      <c r="I3" s="62"/>
      <c r="J3" s="133"/>
      <c r="K3" s="133"/>
      <c r="L3" s="133"/>
      <c r="M3" s="9"/>
    </row>
    <row r="4" spans="1:13" s="3" customFormat="1" ht="13.2">
      <c r="A4" s="64" t="s">
        <v>55</v>
      </c>
      <c r="B4" s="147" t="s">
        <v>263</v>
      </c>
      <c r="C4" s="148"/>
      <c r="D4" s="149"/>
      <c r="E4" s="62"/>
      <c r="F4" s="62"/>
      <c r="G4" s="62"/>
      <c r="H4" s="62"/>
      <c r="I4" s="62"/>
      <c r="J4" s="133"/>
      <c r="K4" s="133"/>
      <c r="L4" s="133"/>
      <c r="M4" s="9"/>
    </row>
    <row r="5" spans="1:13" s="72" customFormat="1" ht="26.4">
      <c r="A5" s="64" t="s">
        <v>48</v>
      </c>
      <c r="B5" s="150" t="s">
        <v>264</v>
      </c>
      <c r="C5" s="151"/>
      <c r="D5" s="152"/>
      <c r="E5" s="70"/>
      <c r="F5" s="70"/>
      <c r="G5" s="70"/>
      <c r="H5" s="70"/>
      <c r="I5" s="70"/>
      <c r="J5" s="153"/>
      <c r="K5" s="153"/>
      <c r="L5" s="153"/>
      <c r="M5" s="71"/>
    </row>
    <row r="6" spans="1:13" s="3" customFormat="1" ht="15" customHeight="1">
      <c r="A6" s="12" t="s">
        <v>56</v>
      </c>
      <c r="B6" s="86">
        <f>COUNTIF(K12:K15,"Pass")</f>
        <v>2</v>
      </c>
      <c r="C6" s="10" t="s">
        <v>57</v>
      </c>
      <c r="D6" s="13">
        <f>COUNTIF(K10:K734,"Pending")</f>
        <v>0</v>
      </c>
      <c r="E6" s="113"/>
      <c r="F6" s="113"/>
      <c r="G6" s="113"/>
      <c r="H6" s="113"/>
      <c r="I6" s="113"/>
      <c r="J6" s="133"/>
      <c r="K6" s="133"/>
      <c r="L6" s="133"/>
      <c r="M6" s="9"/>
    </row>
    <row r="7" spans="1:13" s="3" customFormat="1" ht="15" customHeight="1" thickBot="1">
      <c r="A7" s="14" t="s">
        <v>20</v>
      </c>
      <c r="B7" s="87">
        <f>COUNTIF(K12:K15,"Fail")</f>
        <v>1</v>
      </c>
      <c r="C7" s="29" t="s">
        <v>46</v>
      </c>
      <c r="D7" s="60">
        <f>COUNTA(A13:A15)</f>
        <v>3</v>
      </c>
      <c r="E7" s="63"/>
      <c r="F7" s="63"/>
      <c r="G7" s="63"/>
      <c r="H7" s="63"/>
      <c r="I7" s="63"/>
      <c r="J7" s="133"/>
      <c r="K7" s="133"/>
      <c r="L7" s="133"/>
      <c r="M7" s="9"/>
    </row>
    <row r="8" spans="1:13" s="3" customFormat="1" ht="15" customHeight="1">
      <c r="A8" s="134"/>
      <c r="B8" s="134"/>
      <c r="C8" s="134"/>
      <c r="D8" s="134"/>
      <c r="E8" s="113"/>
      <c r="F8" s="113"/>
      <c r="G8" s="113"/>
      <c r="H8" s="113"/>
      <c r="I8" s="113"/>
      <c r="J8" s="113"/>
      <c r="K8" s="109"/>
      <c r="L8" s="109"/>
      <c r="M8" s="9"/>
    </row>
    <row r="9" spans="1:13" s="74" customFormat="1" ht="12" customHeight="1">
      <c r="A9" s="124" t="s">
        <v>49</v>
      </c>
      <c r="B9" s="136" t="s">
        <v>23</v>
      </c>
      <c r="C9" s="124" t="s">
        <v>34</v>
      </c>
      <c r="D9" s="138" t="s">
        <v>47</v>
      </c>
      <c r="E9" s="139"/>
      <c r="F9" s="139"/>
      <c r="G9" s="140"/>
      <c r="H9" s="123" t="s">
        <v>211</v>
      </c>
      <c r="I9" s="123" t="s">
        <v>193</v>
      </c>
      <c r="J9" s="144" t="s">
        <v>45</v>
      </c>
      <c r="K9" s="135" t="s">
        <v>24</v>
      </c>
      <c r="L9" s="135" t="s">
        <v>50</v>
      </c>
      <c r="M9" s="73"/>
    </row>
    <row r="10" spans="1:13" s="3" customFormat="1" ht="12" customHeight="1">
      <c r="A10" s="135"/>
      <c r="B10" s="137"/>
      <c r="C10" s="135"/>
      <c r="D10" s="141"/>
      <c r="E10" s="142"/>
      <c r="F10" s="142"/>
      <c r="G10" s="143"/>
      <c r="H10" s="124"/>
      <c r="I10" s="124"/>
      <c r="J10" s="141"/>
      <c r="K10" s="135"/>
      <c r="L10" s="135"/>
      <c r="M10" s="9"/>
    </row>
    <row r="11" spans="1:13" s="75" customFormat="1" ht="15">
      <c r="A11" s="127"/>
      <c r="B11" s="127"/>
      <c r="C11" s="127"/>
      <c r="D11" s="127"/>
      <c r="E11" s="127"/>
      <c r="F11" s="127"/>
      <c r="G11" s="127"/>
      <c r="H11" s="127"/>
      <c r="I11" s="127"/>
      <c r="J11" s="127"/>
      <c r="K11" s="127"/>
      <c r="L11" s="128"/>
    </row>
    <row r="12" spans="1:13" s="4" customFormat="1" ht="13.2">
      <c r="A12" s="129" t="s">
        <v>291</v>
      </c>
      <c r="B12" s="130"/>
      <c r="C12" s="130"/>
      <c r="D12" s="130"/>
      <c r="E12" s="130"/>
      <c r="F12" s="130"/>
      <c r="G12" s="130"/>
      <c r="H12" s="130"/>
      <c r="I12" s="130"/>
      <c r="J12" s="130"/>
      <c r="K12" s="130"/>
      <c r="L12" s="131"/>
    </row>
    <row r="13" spans="1:13" s="4" customFormat="1" ht="79.2" customHeight="1" outlineLevel="1">
      <c r="A13" s="79" t="s">
        <v>265</v>
      </c>
      <c r="B13" s="88" t="s">
        <v>266</v>
      </c>
      <c r="C13" s="78" t="s">
        <v>267</v>
      </c>
      <c r="D13" s="132" t="s">
        <v>268</v>
      </c>
      <c r="E13" s="126"/>
      <c r="F13" s="126" t="s">
        <v>217</v>
      </c>
      <c r="G13" s="77"/>
      <c r="H13" s="112" t="s">
        <v>269</v>
      </c>
      <c r="I13" s="78" t="s">
        <v>276</v>
      </c>
      <c r="J13" s="118" t="s">
        <v>270</v>
      </c>
      <c r="K13" s="78" t="s">
        <v>56</v>
      </c>
      <c r="L13" s="76"/>
    </row>
    <row r="14" spans="1:13" s="4" customFormat="1" ht="63.75" customHeight="1" outlineLevel="1">
      <c r="A14" s="79" t="s">
        <v>271</v>
      </c>
      <c r="B14" s="95" t="s">
        <v>272</v>
      </c>
      <c r="C14" s="96" t="s">
        <v>273</v>
      </c>
      <c r="D14" s="125" t="s">
        <v>274</v>
      </c>
      <c r="E14" s="156"/>
      <c r="F14" s="156"/>
      <c r="G14" s="77"/>
      <c r="H14" s="112" t="s">
        <v>275</v>
      </c>
      <c r="I14" s="78" t="s">
        <v>276</v>
      </c>
      <c r="J14" s="118" t="s">
        <v>270</v>
      </c>
      <c r="K14" s="78" t="s">
        <v>56</v>
      </c>
      <c r="L14" s="76"/>
    </row>
    <row r="15" spans="1:13" s="4" customFormat="1" ht="93.6" customHeight="1" outlineLevel="1">
      <c r="A15" s="79" t="s">
        <v>277</v>
      </c>
      <c r="B15" s="95" t="s">
        <v>278</v>
      </c>
      <c r="C15" s="96" t="s">
        <v>279</v>
      </c>
      <c r="D15" s="125" t="s">
        <v>280</v>
      </c>
      <c r="E15" s="156"/>
      <c r="F15" s="156"/>
      <c r="G15" s="77"/>
      <c r="H15" s="112" t="s">
        <v>281</v>
      </c>
      <c r="I15" s="78" t="s">
        <v>276</v>
      </c>
      <c r="J15" s="118" t="s">
        <v>282</v>
      </c>
      <c r="K15" s="78" t="s">
        <v>20</v>
      </c>
      <c r="L15" s="76" t="s">
        <v>283</v>
      </c>
    </row>
    <row r="16" spans="1:13" s="4" customFormat="1" ht="26.4" outlineLevel="1">
      <c r="A16" s="79" t="s">
        <v>284</v>
      </c>
      <c r="B16" s="95" t="s">
        <v>285</v>
      </c>
      <c r="C16" s="96" t="s">
        <v>286</v>
      </c>
      <c r="D16" s="125" t="s">
        <v>287</v>
      </c>
      <c r="E16" s="156"/>
      <c r="F16" s="156"/>
      <c r="G16" s="77"/>
      <c r="H16" s="112" t="s">
        <v>287</v>
      </c>
      <c r="I16" s="78" t="s">
        <v>288</v>
      </c>
      <c r="J16" s="118" t="s">
        <v>282</v>
      </c>
      <c r="K16" s="78" t="s">
        <v>56</v>
      </c>
      <c r="L16" s="76"/>
    </row>
    <row r="17" spans="1:16" s="4" customFormat="1" outlineLevel="1">
      <c r="A17"/>
      <c r="B17"/>
      <c r="C17"/>
      <c r="D17"/>
      <c r="E17"/>
      <c r="F17"/>
      <c r="G17"/>
      <c r="H17"/>
      <c r="I17"/>
      <c r="J17"/>
      <c r="K17" s="94"/>
      <c r="L17" s="92"/>
    </row>
    <row r="18" spans="1:16" s="4" customFormat="1">
      <c r="A18"/>
      <c r="B18"/>
      <c r="C18"/>
      <c r="D18"/>
      <c r="E18"/>
      <c r="F18"/>
      <c r="G18"/>
      <c r="H18"/>
      <c r="I18"/>
      <c r="J18"/>
      <c r="K18" s="94"/>
      <c r="L18" s="92"/>
    </row>
    <row r="19" spans="1:16" s="84" customFormat="1" ht="228.75" customHeight="1" outlineLevel="1">
      <c r="A19"/>
      <c r="B19"/>
      <c r="C19"/>
      <c r="D19"/>
      <c r="E19"/>
      <c r="F19"/>
      <c r="G19"/>
      <c r="H19"/>
      <c r="I19"/>
      <c r="J19"/>
      <c r="K19" s="94"/>
      <c r="L19" s="92"/>
    </row>
    <row r="20" spans="1:16" s="84" customFormat="1" ht="207.75" customHeight="1" outlineLevel="1">
      <c r="A20"/>
      <c r="B20"/>
      <c r="C20"/>
      <c r="D20"/>
      <c r="E20"/>
      <c r="F20"/>
      <c r="G20"/>
      <c r="H20"/>
      <c r="I20"/>
      <c r="J20"/>
      <c r="K20" s="94"/>
      <c r="L20" s="92"/>
    </row>
    <row r="21" spans="1:16" s="84" customFormat="1" ht="255" customHeight="1" outlineLevel="1">
      <c r="A21"/>
      <c r="B21"/>
      <c r="C21"/>
      <c r="D21"/>
      <c r="E21"/>
      <c r="F21"/>
      <c r="G21"/>
      <c r="H21"/>
      <c r="I21"/>
      <c r="J21"/>
      <c r="K21" s="94"/>
      <c r="L21" s="92"/>
      <c r="M21" s="99"/>
      <c r="N21" s="99"/>
      <c r="O21" s="99"/>
      <c r="P21" s="99"/>
    </row>
    <row r="22" spans="1:16" s="84" customFormat="1" ht="276.75" customHeight="1" outlineLevel="1">
      <c r="A22"/>
      <c r="B22"/>
      <c r="C22"/>
      <c r="D22"/>
      <c r="E22"/>
      <c r="F22"/>
      <c r="G22"/>
      <c r="H22"/>
      <c r="I22"/>
      <c r="J22"/>
      <c r="K22" s="94"/>
      <c r="L22" s="92"/>
    </row>
    <row r="23" spans="1:16" s="4" customFormat="1" collapsed="1">
      <c r="A23"/>
      <c r="B23"/>
      <c r="C23"/>
      <c r="D23"/>
      <c r="E23"/>
      <c r="F23"/>
      <c r="G23"/>
      <c r="H23"/>
      <c r="I23"/>
      <c r="J23"/>
      <c r="K23" s="94"/>
      <c r="L23" s="92"/>
    </row>
    <row r="24" spans="1:16" s="4" customFormat="1" hidden="1" outlineLevel="1">
      <c r="A24"/>
      <c r="B24"/>
      <c r="C24"/>
      <c r="D24"/>
      <c r="E24"/>
      <c r="F24"/>
      <c r="G24"/>
      <c r="H24"/>
      <c r="I24"/>
      <c r="J24"/>
      <c r="K24" s="94"/>
      <c r="L24" s="92"/>
    </row>
    <row r="25" spans="1:16" s="84" customFormat="1" ht="70.5" hidden="1" customHeight="1" outlineLevel="1">
      <c r="A25"/>
      <c r="B25"/>
      <c r="C25"/>
      <c r="D25"/>
      <c r="E25"/>
      <c r="F25"/>
      <c r="G25"/>
      <c r="H25"/>
      <c r="I25"/>
      <c r="J25"/>
      <c r="K25" s="94"/>
      <c r="L25" s="92"/>
    </row>
    <row r="26" spans="1:16" s="84" customFormat="1" ht="87.75" hidden="1" customHeight="1" outlineLevel="1">
      <c r="A26"/>
      <c r="B26"/>
      <c r="C26"/>
      <c r="D26"/>
      <c r="E26"/>
      <c r="F26"/>
      <c r="G26"/>
      <c r="H26"/>
      <c r="I26"/>
      <c r="J26"/>
      <c r="K26" s="94"/>
      <c r="L26" s="92"/>
    </row>
    <row r="27" spans="1:16" s="84" customFormat="1" ht="87.75" hidden="1" customHeight="1" outlineLevel="1">
      <c r="A27"/>
      <c r="B27"/>
      <c r="C27"/>
      <c r="D27"/>
      <c r="E27"/>
      <c r="F27"/>
      <c r="G27"/>
      <c r="H27"/>
      <c r="I27"/>
      <c r="J27"/>
      <c r="K27" s="94"/>
      <c r="L27" s="92"/>
    </row>
    <row r="28" spans="1:16" s="84" customFormat="1" ht="59.25" hidden="1" customHeight="1" outlineLevel="1">
      <c r="A28"/>
      <c r="B28"/>
      <c r="C28"/>
      <c r="D28"/>
      <c r="E28"/>
      <c r="F28"/>
      <c r="G28"/>
      <c r="H28"/>
      <c r="I28"/>
      <c r="J28"/>
      <c r="K28" s="94"/>
      <c r="L28" s="92"/>
    </row>
    <row r="29" spans="1:16" s="84" customFormat="1" ht="56.25" hidden="1" customHeight="1" outlineLevel="1">
      <c r="A29"/>
      <c r="B29"/>
      <c r="C29"/>
      <c r="D29"/>
      <c r="E29"/>
      <c r="F29"/>
      <c r="G29"/>
      <c r="H29"/>
      <c r="I29"/>
      <c r="J29"/>
      <c r="K29" s="94"/>
      <c r="L29" s="92"/>
    </row>
    <row r="30" spans="1:16" s="84" customFormat="1" ht="87.75" hidden="1" customHeight="1" outlineLevel="1">
      <c r="A30"/>
      <c r="B30"/>
      <c r="C30"/>
      <c r="D30"/>
      <c r="E30"/>
      <c r="F30"/>
      <c r="G30"/>
      <c r="H30"/>
      <c r="I30"/>
      <c r="J30"/>
      <c r="K30" s="94"/>
      <c r="L30" s="92"/>
    </row>
    <row r="31" spans="1:16" s="84" customFormat="1" ht="62.25" hidden="1" customHeight="1" outlineLevel="1">
      <c r="A31"/>
      <c r="B31"/>
      <c r="C31"/>
      <c r="D31"/>
      <c r="E31"/>
      <c r="F31"/>
      <c r="G31"/>
      <c r="H31"/>
      <c r="I31"/>
      <c r="J31"/>
      <c r="K31" s="94"/>
      <c r="L31" s="92"/>
    </row>
    <row r="32" spans="1:16" s="4" customFormat="1" hidden="1" outlineLevel="1">
      <c r="A32"/>
      <c r="B32"/>
      <c r="C32"/>
      <c r="D32"/>
      <c r="E32"/>
      <c r="F32"/>
      <c r="G32"/>
      <c r="H32"/>
      <c r="I32"/>
      <c r="J32"/>
      <c r="K32" s="94"/>
      <c r="L32" s="92"/>
    </row>
    <row r="33" spans="1:12" s="84" customFormat="1" ht="87.75" hidden="1" customHeight="1" outlineLevel="1">
      <c r="A33"/>
      <c r="B33"/>
      <c r="C33"/>
      <c r="D33"/>
      <c r="E33"/>
      <c r="F33"/>
      <c r="G33"/>
      <c r="H33"/>
      <c r="I33"/>
      <c r="J33"/>
      <c r="K33" s="94"/>
      <c r="L33" s="92"/>
    </row>
    <row r="34" spans="1:12" s="4" customFormat="1" collapsed="1">
      <c r="A34"/>
      <c r="B34"/>
      <c r="C34"/>
      <c r="D34"/>
      <c r="E34"/>
      <c r="F34"/>
      <c r="G34"/>
      <c r="H34"/>
      <c r="I34"/>
      <c r="J34"/>
      <c r="K34" s="94"/>
      <c r="L34" s="92"/>
    </row>
    <row r="35" spans="1:12" s="84" customFormat="1" ht="101.25" hidden="1" customHeight="1" outlineLevel="1">
      <c r="A35"/>
      <c r="B35"/>
      <c r="C35"/>
      <c r="D35"/>
      <c r="E35"/>
      <c r="F35"/>
      <c r="G35"/>
      <c r="H35"/>
      <c r="I35"/>
      <c r="J35"/>
      <c r="K35" s="94"/>
      <c r="L35" s="92"/>
    </row>
    <row r="36" spans="1:12" s="84" customFormat="1" ht="96" hidden="1" customHeight="1" outlineLevel="1">
      <c r="A36"/>
      <c r="B36"/>
      <c r="C36"/>
      <c r="D36"/>
      <c r="E36"/>
      <c r="F36"/>
      <c r="G36"/>
      <c r="H36"/>
      <c r="I36"/>
      <c r="J36"/>
      <c r="K36" s="94"/>
      <c r="L36" s="92"/>
    </row>
    <row r="37" spans="1:12" s="84" customFormat="1" ht="96" hidden="1" customHeight="1" outlineLevel="1">
      <c r="A37"/>
      <c r="B37"/>
      <c r="C37"/>
      <c r="D37"/>
      <c r="E37"/>
      <c r="F37"/>
      <c r="G37"/>
      <c r="H37"/>
      <c r="I37"/>
      <c r="J37"/>
      <c r="K37" s="94"/>
      <c r="L37" s="92"/>
    </row>
    <row r="38" spans="1:12" s="4" customFormat="1" collapsed="1">
      <c r="A38"/>
      <c r="B38"/>
      <c r="C38"/>
      <c r="D38"/>
      <c r="E38"/>
      <c r="F38"/>
      <c r="G38"/>
      <c r="H38"/>
      <c r="I38"/>
      <c r="J38"/>
      <c r="K38" s="94"/>
      <c r="L38" s="92"/>
    </row>
    <row r="39" spans="1:12" s="84" customFormat="1" ht="27.75" hidden="1" customHeight="1" outlineLevel="1">
      <c r="A39"/>
      <c r="B39"/>
      <c r="C39"/>
      <c r="D39"/>
      <c r="E39"/>
      <c r="F39"/>
      <c r="G39"/>
      <c r="H39"/>
      <c r="I39"/>
      <c r="J39"/>
      <c r="K39" s="94"/>
      <c r="L39" s="92"/>
    </row>
    <row r="40" spans="1:12" s="84" customFormat="1" ht="27.75" hidden="1" customHeight="1" outlineLevel="1">
      <c r="A40"/>
      <c r="B40"/>
      <c r="C40"/>
      <c r="D40"/>
      <c r="E40"/>
      <c r="F40"/>
      <c r="G40"/>
      <c r="H40"/>
      <c r="I40"/>
      <c r="J40"/>
      <c r="K40" s="94"/>
      <c r="L40" s="92"/>
    </row>
    <row r="41" spans="1:12" s="84" customFormat="1" ht="81" hidden="1" customHeight="1" outlineLevel="1">
      <c r="A41"/>
      <c r="B41"/>
      <c r="C41"/>
      <c r="D41"/>
      <c r="E41"/>
      <c r="F41"/>
      <c r="G41"/>
      <c r="H41"/>
      <c r="I41"/>
      <c r="J41"/>
      <c r="K41" s="94"/>
      <c r="L41" s="92"/>
    </row>
    <row r="42" spans="1:12" s="4" customFormat="1">
      <c r="A42"/>
      <c r="B42"/>
      <c r="C42"/>
      <c r="D42"/>
      <c r="E42"/>
      <c r="F42"/>
      <c r="G42"/>
      <c r="H42"/>
      <c r="I42"/>
      <c r="J42"/>
      <c r="K42" s="94"/>
      <c r="L42" s="92"/>
    </row>
    <row r="43" spans="1:12" s="4" customFormat="1" outlineLevel="1">
      <c r="A43"/>
      <c r="B43"/>
      <c r="C43"/>
      <c r="D43"/>
      <c r="E43"/>
      <c r="F43"/>
      <c r="G43"/>
      <c r="H43"/>
      <c r="I43"/>
      <c r="J43"/>
      <c r="K43" s="94"/>
      <c r="L43" s="92"/>
    </row>
    <row r="44" spans="1:12" s="84" customFormat="1" ht="87.75" customHeight="1" outlineLevel="1">
      <c r="A44"/>
      <c r="B44"/>
      <c r="C44"/>
      <c r="D44"/>
      <c r="E44"/>
      <c r="F44"/>
      <c r="G44"/>
      <c r="H44"/>
      <c r="I44"/>
      <c r="J44"/>
      <c r="K44" s="94"/>
      <c r="L44" s="92"/>
    </row>
    <row r="45" spans="1:12" s="84" customFormat="1" ht="87.75" customHeight="1" outlineLevel="1">
      <c r="A45"/>
      <c r="B45"/>
      <c r="C45"/>
      <c r="D45"/>
      <c r="E45"/>
      <c r="F45"/>
      <c r="G45"/>
      <c r="H45"/>
      <c r="I45"/>
      <c r="J45"/>
      <c r="K45" s="94"/>
      <c r="L45" s="92"/>
    </row>
    <row r="46" spans="1:12" s="4" customFormat="1" outlineLevel="1">
      <c r="A46"/>
      <c r="B46"/>
      <c r="C46"/>
      <c r="D46"/>
      <c r="E46"/>
      <c r="F46"/>
      <c r="G46"/>
      <c r="H46"/>
      <c r="I46"/>
      <c r="J46"/>
      <c r="K46" s="94"/>
      <c r="L46" s="92"/>
    </row>
    <row r="47" spans="1:12" s="84" customFormat="1" ht="87.75" customHeight="1" outlineLevel="1">
      <c r="A47"/>
      <c r="B47"/>
      <c r="C47"/>
      <c r="D47"/>
      <c r="E47"/>
      <c r="F47"/>
      <c r="G47"/>
      <c r="H47"/>
      <c r="I47"/>
      <c r="J47"/>
      <c r="K47" s="94"/>
      <c r="L47" s="92"/>
    </row>
    <row r="48" spans="1:12" s="84" customFormat="1" ht="87.75" customHeight="1" outlineLevel="1">
      <c r="A48"/>
      <c r="B48"/>
      <c r="C48"/>
      <c r="D48"/>
      <c r="E48"/>
      <c r="F48"/>
      <c r="G48"/>
      <c r="H48"/>
      <c r="I48"/>
      <c r="J48"/>
      <c r="K48" s="94"/>
      <c r="L48" s="92"/>
    </row>
    <row r="49" spans="1:12" s="4" customFormat="1" outlineLevel="1">
      <c r="A49"/>
      <c r="B49"/>
      <c r="C49"/>
      <c r="D49"/>
      <c r="E49"/>
      <c r="F49"/>
      <c r="G49"/>
      <c r="H49"/>
      <c r="I49"/>
      <c r="J49"/>
      <c r="K49" s="94"/>
      <c r="L49" s="92"/>
    </row>
    <row r="50" spans="1:12" s="84" customFormat="1" ht="87.75" customHeight="1" outlineLevel="1">
      <c r="A50"/>
      <c r="B50"/>
      <c r="C50"/>
      <c r="D50"/>
      <c r="E50"/>
      <c r="F50"/>
      <c r="G50"/>
      <c r="H50"/>
      <c r="I50"/>
      <c r="J50"/>
      <c r="K50" s="94"/>
      <c r="L50" s="92"/>
    </row>
    <row r="51" spans="1:12" s="84" customFormat="1" ht="87.75" customHeight="1" outlineLevel="1">
      <c r="A51"/>
      <c r="B51"/>
      <c r="C51"/>
      <c r="D51"/>
      <c r="E51"/>
      <c r="F51"/>
      <c r="G51"/>
      <c r="H51"/>
      <c r="I51"/>
      <c r="J51"/>
      <c r="K51" s="94"/>
      <c r="L51" s="92"/>
    </row>
    <row r="52" spans="1:12" s="4" customFormat="1" outlineLevel="1">
      <c r="A52"/>
      <c r="B52"/>
      <c r="C52"/>
      <c r="D52"/>
      <c r="E52"/>
      <c r="F52"/>
      <c r="G52"/>
      <c r="H52"/>
      <c r="I52"/>
      <c r="J52"/>
      <c r="K52" s="94"/>
      <c r="L52" s="92"/>
    </row>
    <row r="53" spans="1:12" s="84" customFormat="1" ht="87.75" customHeight="1" outlineLevel="1">
      <c r="A53"/>
      <c r="B53"/>
      <c r="C53"/>
      <c r="D53"/>
      <c r="E53"/>
      <c r="F53"/>
      <c r="G53"/>
      <c r="H53"/>
      <c r="I53"/>
      <c r="J53"/>
      <c r="K53" s="94"/>
      <c r="L53" s="92"/>
    </row>
    <row r="54" spans="1:12" s="84" customFormat="1" ht="87.75" customHeight="1" outlineLevel="1">
      <c r="A54"/>
      <c r="B54"/>
      <c r="C54"/>
      <c r="D54"/>
      <c r="E54"/>
      <c r="F54"/>
      <c r="G54"/>
      <c r="H54"/>
      <c r="I54"/>
      <c r="J54"/>
      <c r="K54" s="94"/>
      <c r="L54" s="92"/>
    </row>
    <row r="55" spans="1:12" s="4" customFormat="1">
      <c r="A55"/>
      <c r="B55"/>
      <c r="C55"/>
      <c r="D55"/>
      <c r="E55"/>
      <c r="F55"/>
      <c r="G55"/>
      <c r="H55"/>
      <c r="I55"/>
      <c r="J55"/>
      <c r="K55" s="94"/>
      <c r="L55" s="92"/>
    </row>
    <row r="56" spans="1:12" s="84" customFormat="1" ht="87.75" customHeight="1" outlineLevel="1">
      <c r="A56"/>
      <c r="B56"/>
      <c r="C56"/>
      <c r="D56"/>
      <c r="E56"/>
      <c r="F56"/>
      <c r="G56"/>
      <c r="H56"/>
      <c r="I56"/>
      <c r="J56"/>
      <c r="K56" s="94"/>
      <c r="L56" s="92"/>
    </row>
    <row r="57" spans="1:12" s="84" customFormat="1" ht="87.75" customHeight="1" outlineLevel="1">
      <c r="A57"/>
      <c r="B57"/>
      <c r="C57"/>
      <c r="D57"/>
      <c r="E57"/>
      <c r="F57"/>
      <c r="G57"/>
      <c r="H57"/>
      <c r="I57"/>
      <c r="J57"/>
      <c r="K57" s="94"/>
      <c r="L57" s="92"/>
    </row>
    <row r="58" spans="1:12" ht="12" customHeight="1"/>
    <row r="59" spans="1:12" ht="12" customHeight="1"/>
    <row r="60" spans="1:12" ht="12" customHeight="1"/>
    <row r="61" spans="1:12" ht="12" customHeight="1"/>
    <row r="62" spans="1:12" ht="12" customHeight="1"/>
    <row r="63" spans="1:12" ht="12" customHeight="1"/>
    <row r="64" spans="1:12"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sheetData>
  <mergeCells count="25">
    <mergeCell ref="B5:D5"/>
    <mergeCell ref="J5:L5"/>
    <mergeCell ref="B1:D2"/>
    <mergeCell ref="B3:D3"/>
    <mergeCell ref="J3:L3"/>
    <mergeCell ref="B4:D4"/>
    <mergeCell ref="J4:L4"/>
    <mergeCell ref="J6:L6"/>
    <mergeCell ref="J7:L7"/>
    <mergeCell ref="A8:D8"/>
    <mergeCell ref="A9:A10"/>
    <mergeCell ref="B9:B10"/>
    <mergeCell ref="C9:C10"/>
    <mergeCell ref="D9:G10"/>
    <mergeCell ref="H9:H10"/>
    <mergeCell ref="I9:I10"/>
    <mergeCell ref="J9:J10"/>
    <mergeCell ref="D15:F15"/>
    <mergeCell ref="D16:F16"/>
    <mergeCell ref="K9:K10"/>
    <mergeCell ref="L9:L10"/>
    <mergeCell ref="A11:L11"/>
    <mergeCell ref="A12:L12"/>
    <mergeCell ref="D13:F13"/>
    <mergeCell ref="D14:F14"/>
  </mergeCells>
  <pageMargins left="0.75" right="0.75" top="1" bottom="1" header="0.5" footer="0.5"/>
  <pageSetup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70732-02BC-4D6E-9300-4FA184AA3F31}">
  <sheetPr>
    <outlinePr summaryBelow="0" summaryRight="0"/>
  </sheetPr>
  <dimension ref="A1:P95"/>
  <sheetViews>
    <sheetView zoomScale="130" zoomScaleNormal="130" workbookViewId="0">
      <selection activeCell="D7" sqref="D7"/>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25.5546875" customWidth="1"/>
    <col min="9" max="9" width="24.77734375" customWidth="1"/>
    <col min="10" max="10" width="17.21875" customWidth="1"/>
    <col min="11" max="11" width="8.88671875" style="94"/>
    <col min="12" max="12" width="38.44140625" style="92" customWidth="1"/>
  </cols>
  <sheetData>
    <row r="1" spans="1:13" s="2" customFormat="1" ht="12.75" customHeight="1">
      <c r="A1" s="58" t="s">
        <v>22</v>
      </c>
      <c r="B1" s="145"/>
      <c r="C1" s="145"/>
      <c r="D1" s="145"/>
      <c r="E1" s="6"/>
      <c r="F1" s="6"/>
      <c r="G1" s="6"/>
      <c r="H1" s="6"/>
      <c r="I1" s="6"/>
      <c r="J1" s="6"/>
      <c r="K1" s="108"/>
      <c r="L1" s="6"/>
      <c r="M1" s="7"/>
    </row>
    <row r="2" spans="1:13" s="2" customFormat="1" ht="11.25" customHeight="1" thickBot="1">
      <c r="A2" s="7"/>
      <c r="B2" s="146"/>
      <c r="C2" s="146"/>
      <c r="D2" s="146"/>
      <c r="E2" s="6"/>
      <c r="F2" s="6"/>
      <c r="G2" s="6"/>
      <c r="H2" s="6"/>
      <c r="I2" s="6"/>
      <c r="J2" s="6"/>
      <c r="K2" s="108"/>
      <c r="L2" s="6"/>
      <c r="M2" s="7"/>
    </row>
    <row r="3" spans="1:13" s="3" customFormat="1" ht="15" customHeight="1">
      <c r="A3" s="59" t="s">
        <v>54</v>
      </c>
      <c r="B3" s="121" t="s">
        <v>308</v>
      </c>
      <c r="C3" s="121"/>
      <c r="D3" s="122"/>
      <c r="E3" s="62"/>
      <c r="F3" s="62"/>
      <c r="G3" s="62"/>
      <c r="H3" s="62"/>
      <c r="I3" s="62"/>
      <c r="J3" s="133"/>
      <c r="K3" s="133"/>
      <c r="L3" s="133"/>
      <c r="M3" s="9"/>
    </row>
    <row r="4" spans="1:13" s="3" customFormat="1" ht="13.2">
      <c r="A4" s="64" t="s">
        <v>55</v>
      </c>
      <c r="B4" s="147" t="s">
        <v>309</v>
      </c>
      <c r="C4" s="148"/>
      <c r="D4" s="149"/>
      <c r="E4" s="62"/>
      <c r="F4" s="62"/>
      <c r="G4" s="62"/>
      <c r="H4" s="62"/>
      <c r="I4" s="62"/>
      <c r="J4" s="133"/>
      <c r="K4" s="133"/>
      <c r="L4" s="133"/>
      <c r="M4" s="9"/>
    </row>
    <row r="5" spans="1:13" s="72" customFormat="1" ht="26.4">
      <c r="A5" s="64" t="s">
        <v>48</v>
      </c>
      <c r="B5" s="150" t="s">
        <v>311</v>
      </c>
      <c r="C5" s="151"/>
      <c r="D5" s="152"/>
      <c r="E5" s="70"/>
      <c r="F5" s="70"/>
      <c r="G5" s="70"/>
      <c r="H5" s="70"/>
      <c r="I5" s="70"/>
      <c r="J5" s="153"/>
      <c r="K5" s="153"/>
      <c r="L5" s="153"/>
      <c r="M5" s="71"/>
    </row>
    <row r="6" spans="1:13" s="3" customFormat="1" ht="15" customHeight="1">
      <c r="A6" s="12" t="s">
        <v>56</v>
      </c>
      <c r="B6" s="86">
        <f>COUNTIF(K13:K14,"Pass")</f>
        <v>2</v>
      </c>
      <c r="C6" s="10" t="s">
        <v>57</v>
      </c>
      <c r="D6" s="13">
        <f>COUNTIF(K10:K731,"Pending")</f>
        <v>0</v>
      </c>
      <c r="E6" s="113"/>
      <c r="F6" s="113"/>
      <c r="G6" s="113"/>
      <c r="H6" s="113"/>
      <c r="I6" s="113"/>
      <c r="J6" s="133"/>
      <c r="K6" s="133"/>
      <c r="L6" s="133"/>
      <c r="M6" s="9"/>
    </row>
    <row r="7" spans="1:13" s="3" customFormat="1" ht="15" customHeight="1" thickBot="1">
      <c r="A7" s="14" t="s">
        <v>20</v>
      </c>
      <c r="B7" s="87">
        <f>COUNTIF(K13:K14,"Fail")</f>
        <v>0</v>
      </c>
      <c r="C7" s="29" t="s">
        <v>46</v>
      </c>
      <c r="D7" s="60">
        <f>COUNTA(A13:A14)</f>
        <v>2</v>
      </c>
      <c r="E7" s="63"/>
      <c r="F7" s="63"/>
      <c r="G7" s="63"/>
      <c r="H7" s="63"/>
      <c r="I7" s="63"/>
      <c r="J7" s="133"/>
      <c r="K7" s="133"/>
      <c r="L7" s="133"/>
      <c r="M7" s="9"/>
    </row>
    <row r="8" spans="1:13" s="3" customFormat="1" ht="15" customHeight="1">
      <c r="A8" s="134"/>
      <c r="B8" s="134"/>
      <c r="C8" s="134"/>
      <c r="D8" s="134"/>
      <c r="E8" s="113"/>
      <c r="F8" s="113"/>
      <c r="G8" s="113"/>
      <c r="H8" s="113"/>
      <c r="I8" s="113"/>
      <c r="J8" s="113"/>
      <c r="K8" s="109"/>
      <c r="L8" s="109"/>
      <c r="M8" s="9"/>
    </row>
    <row r="9" spans="1:13" s="74" customFormat="1" ht="12" customHeight="1">
      <c r="A9" s="124" t="s">
        <v>49</v>
      </c>
      <c r="B9" s="136" t="s">
        <v>23</v>
      </c>
      <c r="C9" s="124" t="s">
        <v>34</v>
      </c>
      <c r="D9" s="138" t="s">
        <v>47</v>
      </c>
      <c r="E9" s="139"/>
      <c r="F9" s="139"/>
      <c r="G9" s="140"/>
      <c r="H9" s="123" t="s">
        <v>211</v>
      </c>
      <c r="I9" s="123" t="s">
        <v>193</v>
      </c>
      <c r="J9" s="144" t="s">
        <v>45</v>
      </c>
      <c r="K9" s="135" t="s">
        <v>24</v>
      </c>
      <c r="L9" s="135" t="s">
        <v>50</v>
      </c>
      <c r="M9" s="73"/>
    </row>
    <row r="10" spans="1:13" s="3" customFormat="1" ht="12" customHeight="1">
      <c r="A10" s="135"/>
      <c r="B10" s="137"/>
      <c r="C10" s="135"/>
      <c r="D10" s="141"/>
      <c r="E10" s="142"/>
      <c r="F10" s="142"/>
      <c r="G10" s="143"/>
      <c r="H10" s="124"/>
      <c r="I10" s="124"/>
      <c r="J10" s="141"/>
      <c r="K10" s="135"/>
      <c r="L10" s="135"/>
      <c r="M10" s="9"/>
    </row>
    <row r="11" spans="1:13" s="75" customFormat="1" ht="15">
      <c r="A11" s="127"/>
      <c r="B11" s="127"/>
      <c r="C11" s="127"/>
      <c r="D11" s="127"/>
      <c r="E11" s="127"/>
      <c r="F11" s="127"/>
      <c r="G11" s="127"/>
      <c r="H11" s="127"/>
      <c r="I11" s="127"/>
      <c r="J11" s="127"/>
      <c r="K11" s="127"/>
      <c r="L11" s="128"/>
    </row>
    <row r="12" spans="1:13" s="4" customFormat="1" ht="13.2">
      <c r="A12" s="129" t="s">
        <v>291</v>
      </c>
      <c r="B12" s="130"/>
      <c r="C12" s="130"/>
      <c r="D12" s="130"/>
      <c r="E12" s="130"/>
      <c r="F12" s="130"/>
      <c r="G12" s="130"/>
      <c r="H12" s="130"/>
      <c r="I12" s="130"/>
      <c r="J12" s="130"/>
      <c r="K12" s="130"/>
      <c r="L12" s="131"/>
    </row>
    <row r="13" spans="1:13" s="4" customFormat="1" ht="79.2" customHeight="1" outlineLevel="1">
      <c r="A13" s="79" t="s">
        <v>312</v>
      </c>
      <c r="B13" s="95" t="s">
        <v>285</v>
      </c>
      <c r="C13" s="96" t="s">
        <v>286</v>
      </c>
      <c r="D13" s="125" t="s">
        <v>287</v>
      </c>
      <c r="E13" s="156"/>
      <c r="F13" s="156"/>
      <c r="G13" s="77"/>
      <c r="H13" s="112" t="s">
        <v>287</v>
      </c>
      <c r="I13" s="78" t="s">
        <v>288</v>
      </c>
      <c r="J13" s="118" t="s">
        <v>282</v>
      </c>
      <c r="K13" s="78" t="s">
        <v>56</v>
      </c>
      <c r="L13" s="76"/>
    </row>
    <row r="14" spans="1:13" s="4" customFormat="1" ht="63.75" customHeight="1" outlineLevel="1">
      <c r="A14" s="79" t="s">
        <v>313</v>
      </c>
      <c r="B14" s="95" t="s">
        <v>314</v>
      </c>
      <c r="C14" s="96" t="s">
        <v>286</v>
      </c>
      <c r="D14" s="125" t="s">
        <v>315</v>
      </c>
      <c r="E14" s="156"/>
      <c r="F14" s="156"/>
      <c r="G14" s="77"/>
      <c r="H14" s="112" t="s">
        <v>316</v>
      </c>
      <c r="I14" s="78" t="s">
        <v>288</v>
      </c>
      <c r="J14" s="118" t="s">
        <v>282</v>
      </c>
      <c r="K14" s="78" t="s">
        <v>56</v>
      </c>
      <c r="L14" s="76"/>
    </row>
    <row r="15" spans="1:13" s="4" customFormat="1" ht="93.6" customHeight="1" outlineLevel="1">
      <c r="A15"/>
      <c r="B15"/>
      <c r="C15"/>
      <c r="D15"/>
      <c r="E15"/>
      <c r="F15"/>
      <c r="G15"/>
      <c r="H15"/>
      <c r="I15"/>
      <c r="J15"/>
      <c r="K15" s="94"/>
      <c r="L15" s="92"/>
    </row>
    <row r="16" spans="1:13" s="4" customFormat="1" outlineLevel="1">
      <c r="A16"/>
      <c r="B16"/>
      <c r="C16"/>
      <c r="D16"/>
      <c r="E16"/>
      <c r="F16"/>
      <c r="G16"/>
      <c r="H16"/>
      <c r="I16"/>
      <c r="J16"/>
      <c r="K16" s="94"/>
      <c r="L16" s="92"/>
    </row>
    <row r="17" spans="1:16" s="4" customFormat="1" outlineLevel="1">
      <c r="A17"/>
      <c r="B17"/>
      <c r="C17"/>
      <c r="D17"/>
      <c r="E17"/>
      <c r="F17"/>
      <c r="G17"/>
      <c r="H17"/>
      <c r="I17"/>
      <c r="J17"/>
      <c r="K17" s="94"/>
      <c r="L17" s="92"/>
    </row>
    <row r="18" spans="1:16" s="4" customFormat="1">
      <c r="A18"/>
      <c r="B18"/>
      <c r="C18"/>
      <c r="D18"/>
      <c r="E18"/>
      <c r="F18"/>
      <c r="G18"/>
      <c r="H18"/>
      <c r="I18"/>
      <c r="J18"/>
      <c r="K18" s="94"/>
      <c r="L18" s="92"/>
    </row>
    <row r="19" spans="1:16" s="84" customFormat="1" ht="228.75" customHeight="1" outlineLevel="1">
      <c r="A19"/>
      <c r="B19"/>
      <c r="C19"/>
      <c r="D19"/>
      <c r="E19"/>
      <c r="F19"/>
      <c r="G19"/>
      <c r="H19"/>
      <c r="I19"/>
      <c r="J19"/>
      <c r="K19" s="94"/>
      <c r="L19" s="92"/>
    </row>
    <row r="20" spans="1:16" s="84" customFormat="1" ht="207.75" customHeight="1" outlineLevel="1">
      <c r="A20"/>
      <c r="B20"/>
      <c r="C20"/>
      <c r="D20"/>
      <c r="E20"/>
      <c r="F20"/>
      <c r="G20"/>
      <c r="H20"/>
      <c r="I20"/>
      <c r="J20"/>
      <c r="K20" s="94"/>
      <c r="L20" s="92"/>
    </row>
    <row r="21" spans="1:16" s="84" customFormat="1" ht="255" customHeight="1" outlineLevel="1">
      <c r="A21"/>
      <c r="B21"/>
      <c r="C21"/>
      <c r="D21"/>
      <c r="E21"/>
      <c r="F21"/>
      <c r="G21"/>
      <c r="H21"/>
      <c r="I21"/>
      <c r="J21"/>
      <c r="K21" s="94"/>
      <c r="L21" s="92"/>
      <c r="M21" s="99"/>
      <c r="N21" s="99"/>
      <c r="O21" s="99"/>
      <c r="P21" s="99"/>
    </row>
    <row r="22" spans="1:16" s="84" customFormat="1" ht="276.75" customHeight="1" outlineLevel="1">
      <c r="A22"/>
      <c r="B22"/>
      <c r="C22"/>
      <c r="D22"/>
      <c r="E22"/>
      <c r="F22"/>
      <c r="G22"/>
      <c r="H22"/>
      <c r="I22"/>
      <c r="J22"/>
      <c r="K22" s="94"/>
      <c r="L22" s="92"/>
    </row>
    <row r="23" spans="1:16" s="4" customFormat="1" collapsed="1">
      <c r="A23"/>
      <c r="B23"/>
      <c r="C23"/>
      <c r="D23"/>
      <c r="E23"/>
      <c r="F23"/>
      <c r="G23"/>
      <c r="H23"/>
      <c r="I23"/>
      <c r="J23"/>
      <c r="K23" s="94"/>
      <c r="L23" s="92"/>
    </row>
    <row r="24" spans="1:16" s="4" customFormat="1" hidden="1" outlineLevel="1">
      <c r="A24"/>
      <c r="B24"/>
      <c r="C24"/>
      <c r="D24"/>
      <c r="E24"/>
      <c r="F24"/>
      <c r="G24"/>
      <c r="H24"/>
      <c r="I24"/>
      <c r="J24"/>
      <c r="K24" s="94"/>
      <c r="L24" s="92"/>
    </row>
    <row r="25" spans="1:16" s="84" customFormat="1" ht="70.5" hidden="1" customHeight="1" outlineLevel="1">
      <c r="A25"/>
      <c r="B25"/>
      <c r="C25"/>
      <c r="D25"/>
      <c r="E25"/>
      <c r="F25"/>
      <c r="G25"/>
      <c r="H25"/>
      <c r="I25"/>
      <c r="J25"/>
      <c r="K25" s="94"/>
      <c r="L25" s="92"/>
    </row>
    <row r="26" spans="1:16" s="84" customFormat="1" ht="87.75" hidden="1" customHeight="1" outlineLevel="1">
      <c r="A26"/>
      <c r="B26"/>
      <c r="C26"/>
      <c r="D26"/>
      <c r="E26"/>
      <c r="F26"/>
      <c r="G26"/>
      <c r="H26"/>
      <c r="I26"/>
      <c r="J26"/>
      <c r="K26" s="94"/>
      <c r="L26" s="92"/>
    </row>
    <row r="27" spans="1:16" s="84" customFormat="1" ht="87.75" hidden="1" customHeight="1" outlineLevel="1">
      <c r="A27"/>
      <c r="B27"/>
      <c r="C27"/>
      <c r="D27"/>
      <c r="E27"/>
      <c r="F27"/>
      <c r="G27"/>
      <c r="H27"/>
      <c r="I27"/>
      <c r="J27"/>
      <c r="K27" s="94"/>
      <c r="L27" s="92"/>
    </row>
    <row r="28" spans="1:16" s="84" customFormat="1" ht="59.25" hidden="1" customHeight="1" outlineLevel="1">
      <c r="A28"/>
      <c r="B28"/>
      <c r="C28"/>
      <c r="D28"/>
      <c r="E28"/>
      <c r="F28"/>
      <c r="G28"/>
      <c r="H28"/>
      <c r="I28"/>
      <c r="J28"/>
      <c r="K28" s="94"/>
      <c r="L28" s="92"/>
    </row>
    <row r="29" spans="1:16" s="84" customFormat="1" ht="56.25" hidden="1" customHeight="1" outlineLevel="1">
      <c r="A29"/>
      <c r="B29"/>
      <c r="C29"/>
      <c r="D29"/>
      <c r="E29"/>
      <c r="F29"/>
      <c r="G29"/>
      <c r="H29"/>
      <c r="I29"/>
      <c r="J29"/>
      <c r="K29" s="94"/>
      <c r="L29" s="92"/>
    </row>
    <row r="30" spans="1:16" s="84" customFormat="1" ht="87.75" hidden="1" customHeight="1" outlineLevel="1">
      <c r="A30"/>
      <c r="B30"/>
      <c r="C30"/>
      <c r="D30"/>
      <c r="E30"/>
      <c r="F30"/>
      <c r="G30"/>
      <c r="H30"/>
      <c r="I30"/>
      <c r="J30"/>
      <c r="K30" s="94"/>
      <c r="L30" s="92"/>
    </row>
    <row r="31" spans="1:16" s="84" customFormat="1" ht="62.25" hidden="1" customHeight="1" outlineLevel="1">
      <c r="A31"/>
      <c r="B31"/>
      <c r="C31"/>
      <c r="D31"/>
      <c r="E31"/>
      <c r="F31"/>
      <c r="G31"/>
      <c r="H31"/>
      <c r="I31"/>
      <c r="J31"/>
      <c r="K31" s="94"/>
      <c r="L31" s="92"/>
    </row>
    <row r="32" spans="1:16" s="4" customFormat="1" hidden="1" outlineLevel="1">
      <c r="A32"/>
      <c r="B32"/>
      <c r="C32"/>
      <c r="D32"/>
      <c r="E32"/>
      <c r="F32"/>
      <c r="G32"/>
      <c r="H32"/>
      <c r="I32"/>
      <c r="J32"/>
      <c r="K32" s="94"/>
      <c r="L32" s="92"/>
    </row>
    <row r="33" spans="1:12" s="84" customFormat="1" ht="87.75" hidden="1" customHeight="1" outlineLevel="1">
      <c r="A33"/>
      <c r="B33"/>
      <c r="C33"/>
      <c r="D33"/>
      <c r="E33"/>
      <c r="F33"/>
      <c r="G33"/>
      <c r="H33"/>
      <c r="I33"/>
      <c r="J33"/>
      <c r="K33" s="94"/>
      <c r="L33" s="92"/>
    </row>
    <row r="34" spans="1:12" s="4" customFormat="1" collapsed="1">
      <c r="A34"/>
      <c r="B34"/>
      <c r="C34"/>
      <c r="D34"/>
      <c r="E34"/>
      <c r="F34"/>
      <c r="G34"/>
      <c r="H34"/>
      <c r="I34"/>
      <c r="J34"/>
      <c r="K34" s="94"/>
      <c r="L34" s="92"/>
    </row>
    <row r="35" spans="1:12" s="84" customFormat="1" ht="101.25" hidden="1" customHeight="1" outlineLevel="1">
      <c r="A35"/>
      <c r="B35"/>
      <c r="C35"/>
      <c r="D35"/>
      <c r="E35"/>
      <c r="F35"/>
      <c r="G35"/>
      <c r="H35"/>
      <c r="I35"/>
      <c r="J35"/>
      <c r="K35" s="94"/>
      <c r="L35" s="92"/>
    </row>
    <row r="36" spans="1:12" s="84" customFormat="1" ht="96" hidden="1" customHeight="1" outlineLevel="1">
      <c r="A36"/>
      <c r="B36"/>
      <c r="C36"/>
      <c r="D36"/>
      <c r="E36"/>
      <c r="F36"/>
      <c r="G36"/>
      <c r="H36"/>
      <c r="I36"/>
      <c r="J36"/>
      <c r="K36" s="94"/>
      <c r="L36" s="92"/>
    </row>
    <row r="37" spans="1:12" s="84" customFormat="1" ht="96" hidden="1" customHeight="1" outlineLevel="1">
      <c r="A37"/>
      <c r="B37"/>
      <c r="C37"/>
      <c r="D37"/>
      <c r="E37"/>
      <c r="F37"/>
      <c r="G37"/>
      <c r="H37"/>
      <c r="I37"/>
      <c r="J37"/>
      <c r="K37" s="94"/>
      <c r="L37" s="92"/>
    </row>
    <row r="38" spans="1:12" s="4" customFormat="1" collapsed="1">
      <c r="A38"/>
      <c r="B38"/>
      <c r="C38"/>
      <c r="D38"/>
      <c r="E38"/>
      <c r="F38"/>
      <c r="G38"/>
      <c r="H38"/>
      <c r="I38"/>
      <c r="J38"/>
      <c r="K38" s="94"/>
      <c r="L38" s="92"/>
    </row>
    <row r="39" spans="1:12" s="84" customFormat="1" ht="27.75" hidden="1" customHeight="1" outlineLevel="1">
      <c r="A39"/>
      <c r="B39"/>
      <c r="C39"/>
      <c r="D39"/>
      <c r="E39"/>
      <c r="F39"/>
      <c r="G39"/>
      <c r="H39"/>
      <c r="I39"/>
      <c r="J39"/>
      <c r="K39" s="94"/>
      <c r="L39" s="92"/>
    </row>
    <row r="40" spans="1:12" s="84" customFormat="1" ht="27.75" hidden="1" customHeight="1" outlineLevel="1">
      <c r="A40"/>
      <c r="B40"/>
      <c r="C40"/>
      <c r="D40"/>
      <c r="E40"/>
      <c r="F40"/>
      <c r="G40"/>
      <c r="H40"/>
      <c r="I40"/>
      <c r="J40"/>
      <c r="K40" s="94"/>
      <c r="L40" s="92"/>
    </row>
    <row r="41" spans="1:12" s="84" customFormat="1" ht="81" hidden="1" customHeight="1" outlineLevel="1">
      <c r="A41"/>
      <c r="B41"/>
      <c r="C41"/>
      <c r="D41"/>
      <c r="E41"/>
      <c r="F41"/>
      <c r="G41"/>
      <c r="H41"/>
      <c r="I41"/>
      <c r="J41"/>
      <c r="K41" s="94"/>
      <c r="L41" s="92"/>
    </row>
    <row r="42" spans="1:12" s="4" customFormat="1">
      <c r="A42"/>
      <c r="B42"/>
      <c r="C42"/>
      <c r="D42"/>
      <c r="E42"/>
      <c r="F42"/>
      <c r="G42"/>
      <c r="H42"/>
      <c r="I42"/>
      <c r="J42"/>
      <c r="K42" s="94"/>
      <c r="L42" s="92"/>
    </row>
    <row r="43" spans="1:12" s="4" customFormat="1" outlineLevel="1">
      <c r="A43"/>
      <c r="B43"/>
      <c r="C43"/>
      <c r="D43"/>
      <c r="E43"/>
      <c r="F43"/>
      <c r="G43"/>
      <c r="H43"/>
      <c r="I43"/>
      <c r="J43"/>
      <c r="K43" s="94"/>
      <c r="L43" s="92"/>
    </row>
    <row r="44" spans="1:12" s="84" customFormat="1" ht="87.75" customHeight="1" outlineLevel="1">
      <c r="A44"/>
      <c r="B44"/>
      <c r="C44"/>
      <c r="D44"/>
      <c r="E44"/>
      <c r="F44"/>
      <c r="G44"/>
      <c r="H44"/>
      <c r="I44"/>
      <c r="J44"/>
      <c r="K44" s="94"/>
      <c r="L44" s="92"/>
    </row>
    <row r="45" spans="1:12" s="84" customFormat="1" ht="87.75" customHeight="1" outlineLevel="1">
      <c r="A45"/>
      <c r="B45"/>
      <c r="C45"/>
      <c r="D45"/>
      <c r="E45"/>
      <c r="F45"/>
      <c r="G45"/>
      <c r="H45"/>
      <c r="I45"/>
      <c r="J45"/>
      <c r="K45" s="94"/>
      <c r="L45" s="92"/>
    </row>
    <row r="46" spans="1:12" s="4" customFormat="1" outlineLevel="1">
      <c r="A46"/>
      <c r="B46"/>
      <c r="C46"/>
      <c r="D46"/>
      <c r="E46"/>
      <c r="F46"/>
      <c r="G46"/>
      <c r="H46"/>
      <c r="I46"/>
      <c r="J46"/>
      <c r="K46" s="94"/>
      <c r="L46" s="92"/>
    </row>
    <row r="47" spans="1:12" s="84" customFormat="1" ht="87.75" customHeight="1" outlineLevel="1">
      <c r="A47"/>
      <c r="B47"/>
      <c r="C47"/>
      <c r="D47"/>
      <c r="E47"/>
      <c r="F47"/>
      <c r="G47"/>
      <c r="H47"/>
      <c r="I47"/>
      <c r="J47"/>
      <c r="K47" s="94"/>
      <c r="L47" s="92"/>
    </row>
    <row r="48" spans="1:12" s="84" customFormat="1" ht="87.75" customHeight="1" outlineLevel="1">
      <c r="A48"/>
      <c r="B48"/>
      <c r="C48"/>
      <c r="D48"/>
      <c r="E48"/>
      <c r="F48"/>
      <c r="G48"/>
      <c r="H48"/>
      <c r="I48"/>
      <c r="J48"/>
      <c r="K48" s="94"/>
      <c r="L48" s="92"/>
    </row>
    <row r="49" spans="1:12" s="4" customFormat="1" outlineLevel="1">
      <c r="A49"/>
      <c r="B49"/>
      <c r="C49"/>
      <c r="D49"/>
      <c r="E49"/>
      <c r="F49"/>
      <c r="G49"/>
      <c r="H49"/>
      <c r="I49"/>
      <c r="J49"/>
      <c r="K49" s="94"/>
      <c r="L49" s="92"/>
    </row>
    <row r="50" spans="1:12" s="84" customFormat="1" ht="87.75" customHeight="1" outlineLevel="1">
      <c r="A50"/>
      <c r="B50"/>
      <c r="C50"/>
      <c r="D50"/>
      <c r="E50"/>
      <c r="F50"/>
      <c r="G50"/>
      <c r="H50"/>
      <c r="I50"/>
      <c r="J50"/>
      <c r="K50" s="94"/>
      <c r="L50" s="92"/>
    </row>
    <row r="51" spans="1:12" s="84" customFormat="1" ht="87.75" customHeight="1" outlineLevel="1">
      <c r="A51"/>
      <c r="B51"/>
      <c r="C51"/>
      <c r="D51"/>
      <c r="E51"/>
      <c r="F51"/>
      <c r="G51"/>
      <c r="H51"/>
      <c r="I51"/>
      <c r="J51"/>
      <c r="K51" s="94"/>
      <c r="L51" s="92"/>
    </row>
    <row r="52" spans="1:12" s="4" customFormat="1" outlineLevel="1">
      <c r="A52"/>
      <c r="B52"/>
      <c r="C52"/>
      <c r="D52"/>
      <c r="E52"/>
      <c r="F52"/>
      <c r="G52"/>
      <c r="H52"/>
      <c r="I52"/>
      <c r="J52"/>
      <c r="K52" s="94"/>
      <c r="L52" s="92"/>
    </row>
    <row r="53" spans="1:12" s="84" customFormat="1" ht="87.75" customHeight="1" outlineLevel="1">
      <c r="A53"/>
      <c r="B53"/>
      <c r="C53"/>
      <c r="D53"/>
      <c r="E53"/>
      <c r="F53"/>
      <c r="G53"/>
      <c r="H53"/>
      <c r="I53"/>
      <c r="J53"/>
      <c r="K53" s="94"/>
      <c r="L53" s="92"/>
    </row>
    <row r="54" spans="1:12" s="84" customFormat="1" ht="87.75" customHeight="1" outlineLevel="1">
      <c r="A54"/>
      <c r="B54"/>
      <c r="C54"/>
      <c r="D54"/>
      <c r="E54"/>
      <c r="F54"/>
      <c r="G54"/>
      <c r="H54"/>
      <c r="I54"/>
      <c r="J54"/>
      <c r="K54" s="94"/>
      <c r="L54" s="92"/>
    </row>
    <row r="55" spans="1:12" s="4" customFormat="1">
      <c r="A55"/>
      <c r="B55"/>
      <c r="C55"/>
      <c r="D55"/>
      <c r="E55"/>
      <c r="F55"/>
      <c r="G55"/>
      <c r="H55"/>
      <c r="I55"/>
      <c r="J55"/>
      <c r="K55" s="94"/>
      <c r="L55" s="92"/>
    </row>
    <row r="56" spans="1:12" s="84" customFormat="1" ht="87.75" customHeight="1" outlineLevel="1">
      <c r="A56"/>
      <c r="B56"/>
      <c r="C56"/>
      <c r="D56"/>
      <c r="E56"/>
      <c r="F56"/>
      <c r="G56"/>
      <c r="H56"/>
      <c r="I56"/>
      <c r="J56"/>
      <c r="K56" s="94"/>
      <c r="L56" s="92"/>
    </row>
    <row r="57" spans="1:12" s="84" customFormat="1" ht="87.75" customHeight="1" outlineLevel="1">
      <c r="A57"/>
      <c r="B57"/>
      <c r="C57"/>
      <c r="D57"/>
      <c r="E57"/>
      <c r="F57"/>
      <c r="G57"/>
      <c r="H57"/>
      <c r="I57"/>
      <c r="J57"/>
      <c r="K57" s="94"/>
      <c r="L57" s="92"/>
    </row>
    <row r="58" spans="1:12" ht="12" customHeight="1"/>
    <row r="59" spans="1:12" ht="12" customHeight="1"/>
    <row r="60" spans="1:12" ht="12" customHeight="1"/>
    <row r="61" spans="1:12" ht="12" customHeight="1"/>
    <row r="62" spans="1:12" ht="12" customHeight="1"/>
    <row r="63" spans="1:12" ht="12" customHeight="1"/>
    <row r="64" spans="1:12"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sheetData>
  <mergeCells count="23">
    <mergeCell ref="B5:D5"/>
    <mergeCell ref="J5:L5"/>
    <mergeCell ref="B1:D2"/>
    <mergeCell ref="B3:D3"/>
    <mergeCell ref="J3:L3"/>
    <mergeCell ref="B4:D4"/>
    <mergeCell ref="J4:L4"/>
    <mergeCell ref="J6:L6"/>
    <mergeCell ref="J7:L7"/>
    <mergeCell ref="A8:D8"/>
    <mergeCell ref="A9:A10"/>
    <mergeCell ref="B9:B10"/>
    <mergeCell ref="C9:C10"/>
    <mergeCell ref="D9:G10"/>
    <mergeCell ref="H9:H10"/>
    <mergeCell ref="I9:I10"/>
    <mergeCell ref="J9:J10"/>
    <mergeCell ref="D13:F13"/>
    <mergeCell ref="D14:F14"/>
    <mergeCell ref="K9:K10"/>
    <mergeCell ref="L9:L10"/>
    <mergeCell ref="A11:L11"/>
    <mergeCell ref="A12:L12"/>
  </mergeCells>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6DC01-E71C-4069-B4D9-E570C1953CC1}">
  <sheetPr>
    <outlinePr summaryBelow="0" summaryRight="0"/>
  </sheetPr>
  <dimension ref="A1:P94"/>
  <sheetViews>
    <sheetView zoomScale="130" zoomScaleNormal="130" workbookViewId="0">
      <selection activeCell="F7" sqref="F7"/>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25.5546875" customWidth="1"/>
    <col min="9" max="9" width="24.77734375" customWidth="1"/>
    <col min="10" max="10" width="17.21875" customWidth="1"/>
    <col min="11" max="11" width="8.88671875" style="94"/>
    <col min="12" max="12" width="38.44140625" style="92" customWidth="1"/>
  </cols>
  <sheetData>
    <row r="1" spans="1:13" s="2" customFormat="1" ht="12.75" customHeight="1">
      <c r="A1" s="58" t="s">
        <v>22</v>
      </c>
      <c r="B1" s="145"/>
      <c r="C1" s="145"/>
      <c r="D1" s="145"/>
      <c r="E1" s="6"/>
      <c r="F1" s="6"/>
      <c r="G1" s="6"/>
      <c r="H1" s="6"/>
      <c r="I1" s="6"/>
      <c r="J1" s="6"/>
      <c r="K1" s="108"/>
      <c r="L1" s="6"/>
      <c r="M1" s="7"/>
    </row>
    <row r="2" spans="1:13" s="2" customFormat="1" ht="11.25" customHeight="1" thickBot="1">
      <c r="A2" s="7"/>
      <c r="B2" s="146"/>
      <c r="C2" s="146"/>
      <c r="D2" s="146"/>
      <c r="E2" s="6"/>
      <c r="F2" s="6"/>
      <c r="G2" s="6"/>
      <c r="H2" s="6"/>
      <c r="I2" s="6"/>
      <c r="J2" s="6"/>
      <c r="K2" s="108"/>
      <c r="L2" s="6"/>
      <c r="M2" s="7"/>
    </row>
    <row r="3" spans="1:13" s="3" customFormat="1" ht="15" customHeight="1">
      <c r="A3" s="59" t="s">
        <v>54</v>
      </c>
      <c r="B3" s="121" t="s">
        <v>289</v>
      </c>
      <c r="C3" s="121"/>
      <c r="D3" s="122"/>
      <c r="E3" s="62"/>
      <c r="F3" s="62"/>
      <c r="G3" s="62"/>
      <c r="H3" s="62"/>
      <c r="I3" s="62"/>
      <c r="J3" s="133"/>
      <c r="K3" s="133"/>
      <c r="L3" s="133"/>
      <c r="M3" s="9"/>
    </row>
    <row r="4" spans="1:13" s="3" customFormat="1" ht="13.2">
      <c r="A4" s="64" t="s">
        <v>55</v>
      </c>
      <c r="B4" s="147" t="s">
        <v>290</v>
      </c>
      <c r="C4" s="148"/>
      <c r="D4" s="149"/>
      <c r="E4" s="62"/>
      <c r="F4" s="62"/>
      <c r="G4" s="62"/>
      <c r="H4" s="62"/>
      <c r="I4" s="62"/>
      <c r="J4" s="133"/>
      <c r="K4" s="133"/>
      <c r="L4" s="133"/>
      <c r="M4" s="9"/>
    </row>
    <row r="5" spans="1:13" s="72" customFormat="1" ht="26.4">
      <c r="A5" s="64" t="s">
        <v>48</v>
      </c>
      <c r="B5" s="150" t="s">
        <v>310</v>
      </c>
      <c r="C5" s="151"/>
      <c r="D5" s="152"/>
      <c r="E5" s="70"/>
      <c r="F5" s="70"/>
      <c r="G5" s="70"/>
      <c r="H5" s="70"/>
      <c r="I5" s="70"/>
      <c r="J5" s="153"/>
      <c r="K5" s="153"/>
      <c r="L5" s="153"/>
      <c r="M5" s="71"/>
    </row>
    <row r="6" spans="1:13" s="3" customFormat="1" ht="15" customHeight="1">
      <c r="A6" s="12" t="s">
        <v>56</v>
      </c>
      <c r="B6" s="86">
        <f>COUNTIF(K12:K15,"Pass")</f>
        <v>3</v>
      </c>
      <c r="C6" s="10" t="s">
        <v>57</v>
      </c>
      <c r="D6" s="13">
        <f>COUNTIF(K10:K733,"Pending")</f>
        <v>0</v>
      </c>
      <c r="E6" s="113"/>
      <c r="F6" s="113"/>
      <c r="G6" s="113"/>
      <c r="H6" s="113"/>
      <c r="I6" s="113"/>
      <c r="J6" s="133"/>
      <c r="K6" s="133"/>
      <c r="L6" s="133"/>
      <c r="M6" s="9"/>
    </row>
    <row r="7" spans="1:13" s="3" customFormat="1" ht="15" customHeight="1" thickBot="1">
      <c r="A7" s="14" t="s">
        <v>20</v>
      </c>
      <c r="B7" s="87">
        <f>COUNTIF(K12:K15,"Fail")</f>
        <v>0</v>
      </c>
      <c r="C7" s="29" t="s">
        <v>46</v>
      </c>
      <c r="D7" s="60">
        <f>COUNTA(A13:A15)</f>
        <v>3</v>
      </c>
      <c r="E7" s="63"/>
      <c r="F7" s="63"/>
      <c r="G7" s="63"/>
      <c r="H7" s="63"/>
      <c r="I7" s="63"/>
      <c r="J7" s="133"/>
      <c r="K7" s="133"/>
      <c r="L7" s="133"/>
      <c r="M7" s="9"/>
    </row>
    <row r="8" spans="1:13" s="3" customFormat="1" ht="15" customHeight="1">
      <c r="A8" s="134"/>
      <c r="B8" s="134"/>
      <c r="C8" s="134"/>
      <c r="D8" s="134"/>
      <c r="E8" s="113"/>
      <c r="F8" s="113"/>
      <c r="G8" s="113"/>
      <c r="H8" s="113"/>
      <c r="I8" s="113"/>
      <c r="J8" s="113"/>
      <c r="K8" s="109"/>
      <c r="L8" s="109"/>
      <c r="M8" s="9"/>
    </row>
    <row r="9" spans="1:13" s="74" customFormat="1" ht="12" customHeight="1">
      <c r="A9" s="124" t="s">
        <v>49</v>
      </c>
      <c r="B9" s="136" t="s">
        <v>23</v>
      </c>
      <c r="C9" s="124" t="s">
        <v>34</v>
      </c>
      <c r="D9" s="138" t="s">
        <v>47</v>
      </c>
      <c r="E9" s="139"/>
      <c r="F9" s="139"/>
      <c r="G9" s="140"/>
      <c r="H9" s="123" t="s">
        <v>211</v>
      </c>
      <c r="I9" s="123" t="s">
        <v>193</v>
      </c>
      <c r="J9" s="144" t="s">
        <v>45</v>
      </c>
      <c r="K9" s="135" t="s">
        <v>24</v>
      </c>
      <c r="L9" s="135" t="s">
        <v>50</v>
      </c>
      <c r="M9" s="73"/>
    </row>
    <row r="10" spans="1:13" s="3" customFormat="1" ht="12" customHeight="1">
      <c r="A10" s="135"/>
      <c r="B10" s="137"/>
      <c r="C10" s="135"/>
      <c r="D10" s="141"/>
      <c r="E10" s="142"/>
      <c r="F10" s="142"/>
      <c r="G10" s="143"/>
      <c r="H10" s="124"/>
      <c r="I10" s="124"/>
      <c r="J10" s="141"/>
      <c r="K10" s="135"/>
      <c r="L10" s="135"/>
      <c r="M10" s="9"/>
    </row>
    <row r="11" spans="1:13" s="75" customFormat="1" ht="15">
      <c r="A11" s="127"/>
      <c r="B11" s="127"/>
      <c r="C11" s="127"/>
      <c r="D11" s="127"/>
      <c r="E11" s="127"/>
      <c r="F11" s="127"/>
      <c r="G11" s="127"/>
      <c r="H11" s="127"/>
      <c r="I11" s="127"/>
      <c r="J11" s="127"/>
      <c r="K11" s="127"/>
      <c r="L11" s="128"/>
    </row>
    <row r="12" spans="1:13" s="4" customFormat="1" ht="13.2">
      <c r="A12" s="129" t="s">
        <v>292</v>
      </c>
      <c r="B12" s="130"/>
      <c r="C12" s="130"/>
      <c r="D12" s="130"/>
      <c r="E12" s="130"/>
      <c r="F12" s="130"/>
      <c r="G12" s="130"/>
      <c r="H12" s="130"/>
      <c r="I12" s="130"/>
      <c r="J12" s="130"/>
      <c r="K12" s="130"/>
      <c r="L12" s="131"/>
    </row>
    <row r="13" spans="1:13" s="4" customFormat="1" ht="79.2" customHeight="1" outlineLevel="1">
      <c r="A13" s="79" t="s">
        <v>293</v>
      </c>
      <c r="B13" s="88" t="s">
        <v>294</v>
      </c>
      <c r="C13" s="78" t="s">
        <v>295</v>
      </c>
      <c r="D13" s="132" t="s">
        <v>300</v>
      </c>
      <c r="E13" s="126"/>
      <c r="F13" s="126" t="s">
        <v>217</v>
      </c>
      <c r="G13" s="77"/>
      <c r="H13" s="112" t="s">
        <v>296</v>
      </c>
      <c r="I13" s="78" t="s">
        <v>288</v>
      </c>
      <c r="J13" s="118" t="s">
        <v>317</v>
      </c>
      <c r="K13" s="78" t="s">
        <v>56</v>
      </c>
      <c r="L13" s="76"/>
    </row>
    <row r="14" spans="1:13" s="4" customFormat="1" ht="87.6" customHeight="1" outlineLevel="1">
      <c r="A14" s="79" t="s">
        <v>297</v>
      </c>
      <c r="B14" s="95" t="s">
        <v>298</v>
      </c>
      <c r="C14" s="78" t="s">
        <v>302</v>
      </c>
      <c r="D14" s="125" t="s">
        <v>301</v>
      </c>
      <c r="E14" s="156"/>
      <c r="F14" s="156"/>
      <c r="G14" s="77"/>
      <c r="H14" s="112" t="s">
        <v>299</v>
      </c>
      <c r="I14" s="78" t="s">
        <v>288</v>
      </c>
      <c r="J14" s="118" t="s">
        <v>317</v>
      </c>
      <c r="K14" s="78" t="s">
        <v>56</v>
      </c>
      <c r="L14" s="76"/>
    </row>
    <row r="15" spans="1:13" s="4" customFormat="1" ht="93.6" customHeight="1" outlineLevel="1">
      <c r="A15" s="79" t="s">
        <v>303</v>
      </c>
      <c r="B15" s="95" t="s">
        <v>304</v>
      </c>
      <c r="C15" s="78" t="s">
        <v>305</v>
      </c>
      <c r="D15" s="125" t="s">
        <v>306</v>
      </c>
      <c r="E15" s="156"/>
      <c r="F15" s="156"/>
      <c r="G15" s="77"/>
      <c r="H15" s="112" t="s">
        <v>307</v>
      </c>
      <c r="I15" s="78" t="s">
        <v>288</v>
      </c>
      <c r="J15" s="118" t="s">
        <v>317</v>
      </c>
      <c r="K15" s="78" t="s">
        <v>56</v>
      </c>
      <c r="L15" s="76"/>
    </row>
    <row r="16" spans="1:13" s="4" customFormat="1" outlineLevel="1">
      <c r="A16"/>
      <c r="B16"/>
      <c r="C16"/>
      <c r="D16"/>
      <c r="E16"/>
      <c r="F16"/>
      <c r="G16"/>
      <c r="H16"/>
      <c r="I16"/>
      <c r="J16"/>
      <c r="K16" s="94"/>
      <c r="L16" s="92"/>
    </row>
    <row r="17" spans="1:16" s="4" customFormat="1">
      <c r="A17"/>
      <c r="B17"/>
      <c r="C17"/>
      <c r="D17"/>
      <c r="E17"/>
      <c r="F17"/>
      <c r="G17"/>
      <c r="H17"/>
      <c r="I17"/>
      <c r="J17"/>
      <c r="K17" s="94"/>
      <c r="L17" s="92"/>
    </row>
    <row r="18" spans="1:16" s="84" customFormat="1" ht="228.75" customHeight="1" outlineLevel="1">
      <c r="A18"/>
      <c r="B18"/>
      <c r="C18"/>
      <c r="D18"/>
      <c r="E18"/>
      <c r="F18"/>
      <c r="G18"/>
      <c r="H18"/>
      <c r="I18"/>
      <c r="J18"/>
      <c r="K18" s="94"/>
      <c r="L18" s="92"/>
    </row>
    <row r="19" spans="1:16" s="84" customFormat="1" ht="207.75" customHeight="1" outlineLevel="1">
      <c r="A19"/>
      <c r="B19"/>
      <c r="C19"/>
      <c r="D19"/>
      <c r="E19"/>
      <c r="F19"/>
      <c r="G19"/>
      <c r="H19"/>
      <c r="I19"/>
      <c r="J19"/>
      <c r="K19" s="94"/>
      <c r="L19" s="92"/>
    </row>
    <row r="20" spans="1:16" s="84" customFormat="1" ht="255" customHeight="1" outlineLevel="1">
      <c r="A20"/>
      <c r="B20"/>
      <c r="C20"/>
      <c r="D20"/>
      <c r="E20"/>
      <c r="F20"/>
      <c r="G20"/>
      <c r="H20"/>
      <c r="I20"/>
      <c r="J20"/>
      <c r="K20" s="94"/>
      <c r="L20" s="92"/>
      <c r="M20" s="99"/>
      <c r="N20" s="99"/>
      <c r="O20" s="99"/>
      <c r="P20" s="99"/>
    </row>
    <row r="21" spans="1:16" s="84" customFormat="1" ht="276.75" customHeight="1" outlineLevel="1">
      <c r="A21"/>
      <c r="B21"/>
      <c r="C21"/>
      <c r="D21"/>
      <c r="E21"/>
      <c r="F21"/>
      <c r="G21"/>
      <c r="H21"/>
      <c r="I21"/>
      <c r="J21"/>
      <c r="K21" s="94"/>
      <c r="L21" s="92"/>
    </row>
    <row r="22" spans="1:16" s="4" customFormat="1" collapsed="1">
      <c r="A22"/>
      <c r="B22"/>
      <c r="C22"/>
      <c r="D22"/>
      <c r="E22"/>
      <c r="F22"/>
      <c r="G22"/>
      <c r="H22"/>
      <c r="I22"/>
      <c r="J22"/>
      <c r="K22" s="94"/>
      <c r="L22" s="92"/>
    </row>
    <row r="23" spans="1:16" s="4" customFormat="1" hidden="1" outlineLevel="1">
      <c r="A23"/>
      <c r="B23"/>
      <c r="C23"/>
      <c r="D23"/>
      <c r="E23"/>
      <c r="F23"/>
      <c r="G23"/>
      <c r="H23"/>
      <c r="I23"/>
      <c r="J23"/>
      <c r="K23" s="94"/>
      <c r="L23" s="92"/>
    </row>
    <row r="24" spans="1:16" s="84" customFormat="1" ht="70.5" hidden="1" customHeight="1" outlineLevel="1">
      <c r="A24"/>
      <c r="B24"/>
      <c r="C24"/>
      <c r="D24"/>
      <c r="E24"/>
      <c r="F24"/>
      <c r="G24"/>
      <c r="H24"/>
      <c r="I24"/>
      <c r="J24"/>
      <c r="K24" s="94"/>
      <c r="L24" s="92"/>
    </row>
    <row r="25" spans="1:16" s="84" customFormat="1" ht="87.75" hidden="1" customHeight="1" outlineLevel="1">
      <c r="A25"/>
      <c r="B25"/>
      <c r="C25"/>
      <c r="D25"/>
      <c r="E25"/>
      <c r="F25"/>
      <c r="G25"/>
      <c r="H25"/>
      <c r="I25"/>
      <c r="J25"/>
      <c r="K25" s="94"/>
      <c r="L25" s="92"/>
    </row>
    <row r="26" spans="1:16" s="84" customFormat="1" ht="87.75" hidden="1" customHeight="1" outlineLevel="1">
      <c r="A26"/>
      <c r="B26"/>
      <c r="C26"/>
      <c r="D26"/>
      <c r="E26"/>
      <c r="F26"/>
      <c r="G26"/>
      <c r="H26"/>
      <c r="I26"/>
      <c r="J26"/>
      <c r="K26" s="94"/>
      <c r="L26" s="92"/>
    </row>
    <row r="27" spans="1:16" s="84" customFormat="1" ht="59.25" hidden="1" customHeight="1" outlineLevel="1">
      <c r="A27"/>
      <c r="B27"/>
      <c r="C27"/>
      <c r="D27"/>
      <c r="E27"/>
      <c r="F27"/>
      <c r="G27"/>
      <c r="H27"/>
      <c r="I27"/>
      <c r="J27"/>
      <c r="K27" s="94"/>
      <c r="L27" s="92"/>
    </row>
    <row r="28" spans="1:16" s="84" customFormat="1" ht="56.25" hidden="1" customHeight="1" outlineLevel="1">
      <c r="A28"/>
      <c r="B28"/>
      <c r="C28"/>
      <c r="D28"/>
      <c r="E28"/>
      <c r="F28"/>
      <c r="G28"/>
      <c r="H28"/>
      <c r="I28"/>
      <c r="J28"/>
      <c r="K28" s="94"/>
      <c r="L28" s="92"/>
    </row>
    <row r="29" spans="1:16" s="84" customFormat="1" ht="87.75" hidden="1" customHeight="1" outlineLevel="1">
      <c r="A29"/>
      <c r="B29"/>
      <c r="C29"/>
      <c r="D29"/>
      <c r="E29"/>
      <c r="F29"/>
      <c r="G29"/>
      <c r="H29"/>
      <c r="I29"/>
      <c r="J29"/>
      <c r="K29" s="94"/>
      <c r="L29" s="92"/>
    </row>
    <row r="30" spans="1:16" s="84" customFormat="1" ht="62.25" hidden="1" customHeight="1" outlineLevel="1">
      <c r="A30"/>
      <c r="B30"/>
      <c r="C30"/>
      <c r="D30"/>
      <c r="E30"/>
      <c r="F30"/>
      <c r="G30"/>
      <c r="H30"/>
      <c r="I30"/>
      <c r="J30"/>
      <c r="K30" s="94"/>
      <c r="L30" s="92"/>
    </row>
    <row r="31" spans="1:16" s="4" customFormat="1" hidden="1" outlineLevel="1">
      <c r="A31"/>
      <c r="B31"/>
      <c r="C31"/>
      <c r="D31"/>
      <c r="E31"/>
      <c r="F31"/>
      <c r="G31"/>
      <c r="H31"/>
      <c r="I31"/>
      <c r="J31"/>
      <c r="K31" s="94"/>
      <c r="L31" s="92"/>
    </row>
    <row r="32" spans="1:16" s="84" customFormat="1" ht="87.75" hidden="1" customHeight="1" outlineLevel="1">
      <c r="A32"/>
      <c r="B32"/>
      <c r="C32"/>
      <c r="D32"/>
      <c r="E32"/>
      <c r="F32"/>
      <c r="G32"/>
      <c r="H32"/>
      <c r="I32"/>
      <c r="J32"/>
      <c r="K32" s="94"/>
      <c r="L32" s="92"/>
    </row>
    <row r="33" spans="1:12" s="4" customFormat="1" collapsed="1">
      <c r="A33"/>
      <c r="B33"/>
      <c r="C33"/>
      <c r="D33"/>
      <c r="E33"/>
      <c r="F33"/>
      <c r="G33"/>
      <c r="H33"/>
      <c r="I33"/>
      <c r="J33"/>
      <c r="K33" s="94"/>
      <c r="L33" s="92"/>
    </row>
    <row r="34" spans="1:12" s="84" customFormat="1" ht="101.25" hidden="1" customHeight="1" outlineLevel="1">
      <c r="A34"/>
      <c r="B34"/>
      <c r="C34"/>
      <c r="D34"/>
      <c r="E34"/>
      <c r="F34"/>
      <c r="G34"/>
      <c r="H34"/>
      <c r="I34"/>
      <c r="J34"/>
      <c r="K34" s="94"/>
      <c r="L34" s="92"/>
    </row>
    <row r="35" spans="1:12" s="84" customFormat="1" ht="96" hidden="1" customHeight="1" outlineLevel="1">
      <c r="A35"/>
      <c r="B35"/>
      <c r="C35"/>
      <c r="D35"/>
      <c r="E35"/>
      <c r="F35"/>
      <c r="G35"/>
      <c r="H35"/>
      <c r="I35"/>
      <c r="J35"/>
      <c r="K35" s="94"/>
      <c r="L35" s="92"/>
    </row>
    <row r="36" spans="1:12" s="84" customFormat="1" ht="96" hidden="1" customHeight="1" outlineLevel="1">
      <c r="A36"/>
      <c r="B36"/>
      <c r="C36"/>
      <c r="D36"/>
      <c r="E36"/>
      <c r="F36"/>
      <c r="G36"/>
      <c r="H36"/>
      <c r="I36"/>
      <c r="J36"/>
      <c r="K36" s="94"/>
      <c r="L36" s="92"/>
    </row>
    <row r="37" spans="1:12" s="4" customFormat="1" collapsed="1">
      <c r="A37"/>
      <c r="B37"/>
      <c r="C37"/>
      <c r="D37"/>
      <c r="E37"/>
      <c r="F37"/>
      <c r="G37"/>
      <c r="H37"/>
      <c r="I37"/>
      <c r="J37"/>
      <c r="K37" s="94"/>
      <c r="L37" s="92"/>
    </row>
    <row r="38" spans="1:12" s="84" customFormat="1" ht="27.75" hidden="1" customHeight="1" outlineLevel="1">
      <c r="A38"/>
      <c r="B38"/>
      <c r="C38"/>
      <c r="D38"/>
      <c r="E38"/>
      <c r="F38"/>
      <c r="G38"/>
      <c r="H38"/>
      <c r="I38"/>
      <c r="J38"/>
      <c r="K38" s="94"/>
      <c r="L38" s="92"/>
    </row>
    <row r="39" spans="1:12" s="84" customFormat="1" ht="27.75" hidden="1" customHeight="1" outlineLevel="1">
      <c r="A39"/>
      <c r="B39"/>
      <c r="C39"/>
      <c r="D39"/>
      <c r="E39"/>
      <c r="F39"/>
      <c r="G39"/>
      <c r="H39"/>
      <c r="I39"/>
      <c r="J39"/>
      <c r="K39" s="94"/>
      <c r="L39" s="92"/>
    </row>
    <row r="40" spans="1:12" s="84" customFormat="1" ht="81" hidden="1" customHeight="1" outlineLevel="1">
      <c r="A40"/>
      <c r="B40"/>
      <c r="C40"/>
      <c r="D40"/>
      <c r="E40"/>
      <c r="F40"/>
      <c r="G40"/>
      <c r="H40"/>
      <c r="I40"/>
      <c r="J40"/>
      <c r="K40" s="94"/>
      <c r="L40" s="92"/>
    </row>
    <row r="41" spans="1:12" s="4" customFormat="1">
      <c r="A41"/>
      <c r="B41"/>
      <c r="C41"/>
      <c r="D41"/>
      <c r="E41"/>
      <c r="F41"/>
      <c r="G41"/>
      <c r="H41"/>
      <c r="I41"/>
      <c r="J41"/>
      <c r="K41" s="94"/>
      <c r="L41" s="92"/>
    </row>
    <row r="42" spans="1:12" s="4" customFormat="1" outlineLevel="1">
      <c r="A42"/>
      <c r="B42"/>
      <c r="C42"/>
      <c r="D42"/>
      <c r="E42"/>
      <c r="F42"/>
      <c r="G42"/>
      <c r="H42"/>
      <c r="I42"/>
      <c r="J42"/>
      <c r="K42" s="94"/>
      <c r="L42" s="92"/>
    </row>
    <row r="43" spans="1:12" s="84" customFormat="1" ht="87.75" customHeight="1" outlineLevel="1">
      <c r="A43"/>
      <c r="B43"/>
      <c r="C43"/>
      <c r="D43"/>
      <c r="E43"/>
      <c r="F43"/>
      <c r="G43"/>
      <c r="H43"/>
      <c r="I43"/>
      <c r="J43"/>
      <c r="K43" s="94"/>
      <c r="L43" s="92"/>
    </row>
    <row r="44" spans="1:12" s="84" customFormat="1" ht="87.75" customHeight="1" outlineLevel="1">
      <c r="A44"/>
      <c r="B44"/>
      <c r="C44"/>
      <c r="D44"/>
      <c r="E44"/>
      <c r="F44"/>
      <c r="G44"/>
      <c r="H44"/>
      <c r="I44"/>
      <c r="J44"/>
      <c r="K44" s="94"/>
      <c r="L44" s="92"/>
    </row>
    <row r="45" spans="1:12" s="4" customFormat="1" outlineLevel="1">
      <c r="A45"/>
      <c r="B45"/>
      <c r="C45"/>
      <c r="D45"/>
      <c r="E45"/>
      <c r="F45"/>
      <c r="G45"/>
      <c r="H45"/>
      <c r="I45"/>
      <c r="J45"/>
      <c r="K45" s="94"/>
      <c r="L45" s="92"/>
    </row>
    <row r="46" spans="1:12" s="84" customFormat="1" ht="87.75" customHeight="1" outlineLevel="1">
      <c r="A46"/>
      <c r="B46"/>
      <c r="C46"/>
      <c r="D46"/>
      <c r="E46"/>
      <c r="F46"/>
      <c r="G46"/>
      <c r="H46"/>
      <c r="I46"/>
      <c r="J46"/>
      <c r="K46" s="94"/>
      <c r="L46" s="92"/>
    </row>
    <row r="47" spans="1:12" s="84" customFormat="1" ht="87.75" customHeight="1" outlineLevel="1">
      <c r="A47"/>
      <c r="B47"/>
      <c r="C47"/>
      <c r="D47"/>
      <c r="E47"/>
      <c r="F47"/>
      <c r="G47"/>
      <c r="H47"/>
      <c r="I47"/>
      <c r="J47"/>
      <c r="K47" s="94"/>
      <c r="L47" s="92"/>
    </row>
    <row r="48" spans="1:12" s="4" customFormat="1" outlineLevel="1">
      <c r="A48"/>
      <c r="B48"/>
      <c r="C48"/>
      <c r="D48"/>
      <c r="E48"/>
      <c r="F48"/>
      <c r="G48"/>
      <c r="H48"/>
      <c r="I48"/>
      <c r="J48"/>
      <c r="K48" s="94"/>
      <c r="L48" s="92"/>
    </row>
    <row r="49" spans="1:12" s="84" customFormat="1" ht="87.75" customHeight="1" outlineLevel="1">
      <c r="A49"/>
      <c r="B49"/>
      <c r="C49"/>
      <c r="D49"/>
      <c r="E49"/>
      <c r="F49"/>
      <c r="G49"/>
      <c r="H49"/>
      <c r="I49"/>
      <c r="J49"/>
      <c r="K49" s="94"/>
      <c r="L49" s="92"/>
    </row>
    <row r="50" spans="1:12" s="84" customFormat="1" ht="87.75" customHeight="1" outlineLevel="1">
      <c r="A50"/>
      <c r="B50"/>
      <c r="C50"/>
      <c r="D50"/>
      <c r="E50"/>
      <c r="F50"/>
      <c r="G50"/>
      <c r="H50"/>
      <c r="I50"/>
      <c r="J50"/>
      <c r="K50" s="94"/>
      <c r="L50" s="92"/>
    </row>
    <row r="51" spans="1:12" s="4" customFormat="1" outlineLevel="1">
      <c r="A51"/>
      <c r="B51"/>
      <c r="C51"/>
      <c r="D51"/>
      <c r="E51"/>
      <c r="F51"/>
      <c r="G51"/>
      <c r="H51"/>
      <c r="I51"/>
      <c r="J51"/>
      <c r="K51" s="94"/>
      <c r="L51" s="92"/>
    </row>
    <row r="52" spans="1:12" s="84" customFormat="1" ht="87.75" customHeight="1" outlineLevel="1">
      <c r="A52"/>
      <c r="B52"/>
      <c r="C52"/>
      <c r="D52"/>
      <c r="E52"/>
      <c r="F52"/>
      <c r="G52"/>
      <c r="H52"/>
      <c r="I52"/>
      <c r="J52"/>
      <c r="K52" s="94"/>
      <c r="L52" s="92"/>
    </row>
    <row r="53" spans="1:12" s="84" customFormat="1" ht="87.75" customHeight="1" outlineLevel="1">
      <c r="A53"/>
      <c r="B53"/>
      <c r="C53"/>
      <c r="D53"/>
      <c r="E53"/>
      <c r="F53"/>
      <c r="G53"/>
      <c r="H53"/>
      <c r="I53"/>
      <c r="J53"/>
      <c r="K53" s="94"/>
      <c r="L53" s="92"/>
    </row>
    <row r="54" spans="1:12" s="4" customFormat="1">
      <c r="A54"/>
      <c r="B54"/>
      <c r="C54"/>
      <c r="D54"/>
      <c r="E54"/>
      <c r="F54"/>
      <c r="G54"/>
      <c r="H54"/>
      <c r="I54"/>
      <c r="J54"/>
      <c r="K54" s="94"/>
      <c r="L54" s="92"/>
    </row>
    <row r="55" spans="1:12" s="84" customFormat="1" ht="87.75" customHeight="1" outlineLevel="1">
      <c r="A55"/>
      <c r="B55"/>
      <c r="C55"/>
      <c r="D55"/>
      <c r="E55"/>
      <c r="F55"/>
      <c r="G55"/>
      <c r="H55"/>
      <c r="I55"/>
      <c r="J55"/>
      <c r="K55" s="94"/>
      <c r="L55" s="92"/>
    </row>
    <row r="56" spans="1:12" s="84" customFormat="1" ht="87.75" customHeight="1" outlineLevel="1">
      <c r="A56"/>
      <c r="B56"/>
      <c r="C56"/>
      <c r="D56"/>
      <c r="E56"/>
      <c r="F56"/>
      <c r="G56"/>
      <c r="H56"/>
      <c r="I56"/>
      <c r="J56"/>
      <c r="K56" s="94"/>
      <c r="L56" s="92"/>
    </row>
    <row r="57" spans="1:12" ht="12" customHeight="1"/>
    <row r="58" spans="1:12" ht="12" customHeight="1"/>
    <row r="59" spans="1:12" ht="12" customHeight="1"/>
    <row r="60" spans="1:12" ht="12" customHeight="1"/>
    <row r="61" spans="1:12" ht="12" customHeight="1"/>
    <row r="62" spans="1:12" ht="12" customHeight="1"/>
    <row r="63" spans="1:12" ht="12" customHeight="1"/>
    <row r="64" spans="1:12"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sheetData>
  <mergeCells count="24">
    <mergeCell ref="B5:D5"/>
    <mergeCell ref="J5:L5"/>
    <mergeCell ref="B1:D2"/>
    <mergeCell ref="B3:D3"/>
    <mergeCell ref="J3:L3"/>
    <mergeCell ref="B4:D4"/>
    <mergeCell ref="J4:L4"/>
    <mergeCell ref="J6:L6"/>
    <mergeCell ref="J7:L7"/>
    <mergeCell ref="A8:D8"/>
    <mergeCell ref="A9:A10"/>
    <mergeCell ref="B9:B10"/>
    <mergeCell ref="C9:C10"/>
    <mergeCell ref="D9:G10"/>
    <mergeCell ref="H9:H10"/>
    <mergeCell ref="I9:I10"/>
    <mergeCell ref="J9:J10"/>
    <mergeCell ref="D15:F15"/>
    <mergeCell ref="K9:K10"/>
    <mergeCell ref="L9:L10"/>
    <mergeCell ref="A11:L11"/>
    <mergeCell ref="A12:L12"/>
    <mergeCell ref="D13:F13"/>
    <mergeCell ref="D14:F14"/>
  </mergeCells>
  <pageMargins left="0.75" right="0.75" top="1" bottom="1" header="0.5" footer="0.5"/>
  <pageSetup orientation="portrait"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61E67-E1BA-4202-A7DC-B877FACEF89E}">
  <sheetPr>
    <outlinePr summaryBelow="0" summaryRight="0"/>
  </sheetPr>
  <dimension ref="A1:P94"/>
  <sheetViews>
    <sheetView topLeftCell="A3" zoomScale="130" zoomScaleNormal="130" workbookViewId="0">
      <selection activeCell="J14" sqref="J14"/>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25.5546875" customWidth="1"/>
    <col min="9" max="9" width="24.77734375" customWidth="1"/>
    <col min="10" max="10" width="17.21875" customWidth="1"/>
    <col min="11" max="11" width="8.88671875" style="94"/>
    <col min="12" max="12" width="38.44140625" style="92" customWidth="1"/>
  </cols>
  <sheetData>
    <row r="1" spans="1:13" s="2" customFormat="1" ht="12.75" customHeight="1">
      <c r="A1" s="58" t="s">
        <v>22</v>
      </c>
      <c r="B1" s="145"/>
      <c r="C1" s="145"/>
      <c r="D1" s="145"/>
      <c r="E1" s="6"/>
      <c r="F1" s="6"/>
      <c r="G1" s="6"/>
      <c r="H1" s="6"/>
      <c r="I1" s="6"/>
      <c r="J1" s="6"/>
      <c r="K1" s="108"/>
      <c r="L1" s="6"/>
      <c r="M1" s="7"/>
    </row>
    <row r="2" spans="1:13" s="2" customFormat="1" ht="11.25" customHeight="1" thickBot="1">
      <c r="A2" s="7"/>
      <c r="B2" s="146"/>
      <c r="C2" s="146"/>
      <c r="D2" s="146"/>
      <c r="E2" s="6"/>
      <c r="F2" s="6"/>
      <c r="G2" s="6"/>
      <c r="H2" s="6"/>
      <c r="I2" s="6"/>
      <c r="J2" s="6"/>
      <c r="K2" s="108"/>
      <c r="L2" s="6"/>
      <c r="M2" s="7"/>
    </row>
    <row r="3" spans="1:13" s="3" customFormat="1" ht="15" customHeight="1">
      <c r="A3" s="59" t="s">
        <v>54</v>
      </c>
      <c r="B3" s="121" t="s">
        <v>308</v>
      </c>
      <c r="C3" s="121"/>
      <c r="D3" s="122"/>
      <c r="E3" s="62"/>
      <c r="F3" s="62"/>
      <c r="G3" s="62"/>
      <c r="H3" s="62"/>
      <c r="I3" s="62"/>
      <c r="J3" s="133"/>
      <c r="K3" s="133"/>
      <c r="L3" s="133"/>
      <c r="M3" s="9"/>
    </row>
    <row r="4" spans="1:13" s="3" customFormat="1" ht="13.2">
      <c r="A4" s="64" t="s">
        <v>55</v>
      </c>
      <c r="B4" s="147" t="s">
        <v>318</v>
      </c>
      <c r="C4" s="148"/>
      <c r="D4" s="149"/>
      <c r="E4" s="62"/>
      <c r="F4" s="62"/>
      <c r="G4" s="62"/>
      <c r="H4" s="62"/>
      <c r="I4" s="62"/>
      <c r="J4" s="133"/>
      <c r="K4" s="133"/>
      <c r="L4" s="133"/>
      <c r="M4" s="9"/>
    </row>
    <row r="5" spans="1:13" s="72" customFormat="1" ht="26.4">
      <c r="A5" s="64" t="s">
        <v>48</v>
      </c>
      <c r="B5" s="150" t="s">
        <v>319</v>
      </c>
      <c r="C5" s="151"/>
      <c r="D5" s="152"/>
      <c r="E5" s="70"/>
      <c r="F5" s="70"/>
      <c r="G5" s="70"/>
      <c r="H5" s="70"/>
      <c r="I5" s="70"/>
      <c r="J5" s="153"/>
      <c r="K5" s="153"/>
      <c r="L5" s="153"/>
      <c r="M5" s="71"/>
    </row>
    <row r="6" spans="1:13" s="3" customFormat="1" ht="15" customHeight="1">
      <c r="A6" s="12" t="s">
        <v>56</v>
      </c>
      <c r="B6" s="86">
        <f>COUNTIF(K12:K14,"Pass")</f>
        <v>1</v>
      </c>
      <c r="C6" s="10" t="s">
        <v>57</v>
      </c>
      <c r="D6" s="13">
        <f>COUNTIF(K10:K730,"Pending")</f>
        <v>0</v>
      </c>
      <c r="E6" s="113"/>
      <c r="F6" s="113"/>
      <c r="G6" s="113"/>
      <c r="H6" s="113"/>
      <c r="I6" s="113"/>
      <c r="J6" s="133"/>
      <c r="K6" s="133"/>
      <c r="L6" s="133"/>
      <c r="M6" s="9"/>
    </row>
    <row r="7" spans="1:13" s="3" customFormat="1" ht="15" customHeight="1" thickBot="1">
      <c r="A7" s="14" t="s">
        <v>20</v>
      </c>
      <c r="B7" s="87">
        <f>COUNTIF(K12:K14,"Fail")</f>
        <v>0</v>
      </c>
      <c r="C7" s="29" t="s">
        <v>46</v>
      </c>
      <c r="D7" s="60">
        <f>COUNTA(#REF!)</f>
        <v>1</v>
      </c>
      <c r="E7" s="63"/>
      <c r="F7" s="63"/>
      <c r="G7" s="63"/>
      <c r="H7" s="63"/>
      <c r="I7" s="63"/>
      <c r="J7" s="133"/>
      <c r="K7" s="133"/>
      <c r="L7" s="133"/>
      <c r="M7" s="9"/>
    </row>
    <row r="8" spans="1:13" s="3" customFormat="1" ht="15" customHeight="1">
      <c r="A8" s="134"/>
      <c r="B8" s="134"/>
      <c r="C8" s="134"/>
      <c r="D8" s="134"/>
      <c r="E8" s="113"/>
      <c r="F8" s="113"/>
      <c r="G8" s="113"/>
      <c r="H8" s="113"/>
      <c r="I8" s="113"/>
      <c r="J8" s="113"/>
      <c r="K8" s="109"/>
      <c r="L8" s="109"/>
      <c r="M8" s="9"/>
    </row>
    <row r="9" spans="1:13" s="74" customFormat="1" ht="12" customHeight="1">
      <c r="A9" s="124" t="s">
        <v>49</v>
      </c>
      <c r="B9" s="136" t="s">
        <v>23</v>
      </c>
      <c r="C9" s="124" t="s">
        <v>34</v>
      </c>
      <c r="D9" s="138" t="s">
        <v>47</v>
      </c>
      <c r="E9" s="139"/>
      <c r="F9" s="139"/>
      <c r="G9" s="140"/>
      <c r="H9" s="123" t="s">
        <v>211</v>
      </c>
      <c r="I9" s="123" t="s">
        <v>193</v>
      </c>
      <c r="J9" s="144" t="s">
        <v>45</v>
      </c>
      <c r="K9" s="135" t="s">
        <v>24</v>
      </c>
      <c r="L9" s="135" t="s">
        <v>50</v>
      </c>
      <c r="M9" s="73"/>
    </row>
    <row r="10" spans="1:13" s="3" customFormat="1" ht="12" customHeight="1">
      <c r="A10" s="135"/>
      <c r="B10" s="137"/>
      <c r="C10" s="135"/>
      <c r="D10" s="141"/>
      <c r="E10" s="142"/>
      <c r="F10" s="142"/>
      <c r="G10" s="143"/>
      <c r="H10" s="124"/>
      <c r="I10" s="124"/>
      <c r="J10" s="141"/>
      <c r="K10" s="135"/>
      <c r="L10" s="135"/>
      <c r="M10" s="9"/>
    </row>
    <row r="11" spans="1:13" s="75" customFormat="1" ht="15">
      <c r="A11" s="127"/>
      <c r="B11" s="127"/>
      <c r="C11" s="127"/>
      <c r="D11" s="127"/>
      <c r="E11" s="127"/>
      <c r="F11" s="127"/>
      <c r="G11" s="127"/>
      <c r="H11" s="127"/>
      <c r="I11" s="127"/>
      <c r="J11" s="127"/>
      <c r="K11" s="127"/>
      <c r="L11" s="128"/>
    </row>
    <row r="12" spans="1:13" s="4" customFormat="1" ht="13.2">
      <c r="A12" s="129" t="s">
        <v>291</v>
      </c>
      <c r="B12" s="130"/>
      <c r="C12" s="130"/>
      <c r="D12" s="130"/>
      <c r="E12" s="130"/>
      <c r="F12" s="130"/>
      <c r="G12" s="130"/>
      <c r="H12" s="130"/>
      <c r="I12" s="130"/>
      <c r="J12" s="130"/>
      <c r="K12" s="130"/>
      <c r="L12" s="131"/>
    </row>
    <row r="13" spans="1:13" s="4" customFormat="1" ht="79.2" customHeight="1" outlineLevel="1">
      <c r="A13" s="79" t="s">
        <v>320</v>
      </c>
      <c r="B13" s="95" t="s">
        <v>321</v>
      </c>
      <c r="C13" s="96" t="s">
        <v>322</v>
      </c>
      <c r="D13" s="125" t="s">
        <v>323</v>
      </c>
      <c r="E13" s="156"/>
      <c r="F13" s="156"/>
      <c r="G13" s="77"/>
      <c r="H13" s="112" t="s">
        <v>323</v>
      </c>
      <c r="I13" s="78" t="s">
        <v>288</v>
      </c>
      <c r="J13" s="118" t="s">
        <v>331</v>
      </c>
      <c r="K13" s="78" t="s">
        <v>56</v>
      </c>
      <c r="L13" s="76"/>
    </row>
    <row r="14" spans="1:13" s="4" customFormat="1" ht="93.6" customHeight="1" outlineLevel="1">
      <c r="A14"/>
      <c r="B14"/>
      <c r="C14"/>
      <c r="D14"/>
      <c r="E14"/>
      <c r="F14"/>
      <c r="G14"/>
      <c r="H14"/>
      <c r="I14"/>
      <c r="J14"/>
      <c r="K14" s="94"/>
      <c r="L14" s="92"/>
    </row>
    <row r="15" spans="1:13" s="4" customFormat="1" outlineLevel="1">
      <c r="A15"/>
      <c r="B15"/>
      <c r="C15"/>
      <c r="D15"/>
      <c r="E15"/>
      <c r="F15"/>
      <c r="G15"/>
      <c r="H15"/>
      <c r="I15"/>
      <c r="J15"/>
      <c r="K15" s="94"/>
      <c r="L15" s="92"/>
    </row>
    <row r="16" spans="1:13" s="4" customFormat="1" outlineLevel="1">
      <c r="A16"/>
      <c r="B16"/>
      <c r="C16"/>
      <c r="D16"/>
      <c r="E16"/>
      <c r="F16"/>
      <c r="G16"/>
      <c r="H16"/>
      <c r="I16"/>
      <c r="J16"/>
      <c r="K16" s="94"/>
      <c r="L16" s="92"/>
    </row>
    <row r="17" spans="1:16" s="4" customFormat="1">
      <c r="A17"/>
      <c r="B17"/>
      <c r="C17"/>
      <c r="D17"/>
      <c r="E17"/>
      <c r="F17"/>
      <c r="G17"/>
      <c r="H17"/>
      <c r="I17"/>
      <c r="J17"/>
      <c r="K17" s="94"/>
      <c r="L17" s="92"/>
    </row>
    <row r="18" spans="1:16" s="84" customFormat="1" ht="228.75" customHeight="1" outlineLevel="1">
      <c r="A18"/>
      <c r="B18"/>
      <c r="C18"/>
      <c r="D18"/>
      <c r="E18"/>
      <c r="F18"/>
      <c r="G18"/>
      <c r="H18"/>
      <c r="I18"/>
      <c r="J18"/>
      <c r="K18" s="94"/>
      <c r="L18" s="92"/>
    </row>
    <row r="19" spans="1:16" s="84" customFormat="1" ht="207.75" customHeight="1" outlineLevel="1">
      <c r="A19"/>
      <c r="B19"/>
      <c r="C19"/>
      <c r="D19"/>
      <c r="E19"/>
      <c r="F19"/>
      <c r="G19"/>
      <c r="H19"/>
      <c r="I19"/>
      <c r="J19"/>
      <c r="K19" s="94"/>
      <c r="L19" s="92"/>
    </row>
    <row r="20" spans="1:16" s="84" customFormat="1" ht="255" customHeight="1" outlineLevel="1">
      <c r="A20"/>
      <c r="B20"/>
      <c r="C20"/>
      <c r="D20"/>
      <c r="E20"/>
      <c r="F20"/>
      <c r="G20"/>
      <c r="H20"/>
      <c r="I20"/>
      <c r="J20"/>
      <c r="K20" s="94"/>
      <c r="L20" s="92"/>
      <c r="M20" s="99"/>
      <c r="N20" s="99"/>
      <c r="O20" s="99"/>
      <c r="P20" s="99"/>
    </row>
    <row r="21" spans="1:16" s="84" customFormat="1" ht="276.75" customHeight="1" outlineLevel="1">
      <c r="A21"/>
      <c r="B21"/>
      <c r="C21"/>
      <c r="D21"/>
      <c r="E21"/>
      <c r="F21"/>
      <c r="G21"/>
      <c r="H21"/>
      <c r="I21"/>
      <c r="J21"/>
      <c r="K21" s="94"/>
      <c r="L21" s="92"/>
    </row>
    <row r="22" spans="1:16" s="4" customFormat="1" collapsed="1">
      <c r="A22"/>
      <c r="B22"/>
      <c r="C22"/>
      <c r="D22"/>
      <c r="E22"/>
      <c r="F22"/>
      <c r="G22"/>
      <c r="H22"/>
      <c r="I22"/>
      <c r="J22"/>
      <c r="K22" s="94"/>
      <c r="L22" s="92"/>
    </row>
    <row r="23" spans="1:16" s="4" customFormat="1" hidden="1" outlineLevel="1">
      <c r="A23"/>
      <c r="B23"/>
      <c r="C23"/>
      <c r="D23"/>
      <c r="E23"/>
      <c r="F23"/>
      <c r="G23"/>
      <c r="H23"/>
      <c r="I23"/>
      <c r="J23"/>
      <c r="K23" s="94"/>
      <c r="L23" s="92"/>
    </row>
    <row r="24" spans="1:16" s="84" customFormat="1" ht="70.5" hidden="1" customHeight="1" outlineLevel="1">
      <c r="A24"/>
      <c r="B24"/>
      <c r="C24"/>
      <c r="D24"/>
      <c r="E24"/>
      <c r="F24"/>
      <c r="G24"/>
      <c r="H24"/>
      <c r="I24"/>
      <c r="J24"/>
      <c r="K24" s="94"/>
      <c r="L24" s="92"/>
    </row>
    <row r="25" spans="1:16" s="84" customFormat="1" ht="87.75" hidden="1" customHeight="1" outlineLevel="1">
      <c r="A25"/>
      <c r="B25"/>
      <c r="C25"/>
      <c r="D25"/>
      <c r="E25"/>
      <c r="F25"/>
      <c r="G25"/>
      <c r="H25"/>
      <c r="I25"/>
      <c r="J25"/>
      <c r="K25" s="94"/>
      <c r="L25" s="92"/>
    </row>
    <row r="26" spans="1:16" s="84" customFormat="1" ht="87.75" hidden="1" customHeight="1" outlineLevel="1">
      <c r="A26"/>
      <c r="B26"/>
      <c r="C26"/>
      <c r="D26"/>
      <c r="E26"/>
      <c r="F26"/>
      <c r="G26"/>
      <c r="H26"/>
      <c r="I26"/>
      <c r="J26"/>
      <c r="K26" s="94"/>
      <c r="L26" s="92"/>
    </row>
    <row r="27" spans="1:16" s="84" customFormat="1" ht="59.25" hidden="1" customHeight="1" outlineLevel="1">
      <c r="A27"/>
      <c r="B27"/>
      <c r="C27"/>
      <c r="D27"/>
      <c r="E27"/>
      <c r="F27"/>
      <c r="G27"/>
      <c r="H27"/>
      <c r="I27"/>
      <c r="J27"/>
      <c r="K27" s="94"/>
      <c r="L27" s="92"/>
    </row>
    <row r="28" spans="1:16" s="84" customFormat="1" ht="56.25" hidden="1" customHeight="1" outlineLevel="1">
      <c r="A28"/>
      <c r="B28"/>
      <c r="C28"/>
      <c r="D28"/>
      <c r="E28"/>
      <c r="F28"/>
      <c r="G28"/>
      <c r="H28"/>
      <c r="I28"/>
      <c r="J28"/>
      <c r="K28" s="94"/>
      <c r="L28" s="92"/>
    </row>
    <row r="29" spans="1:16" s="84" customFormat="1" ht="87.75" hidden="1" customHeight="1" outlineLevel="1">
      <c r="A29"/>
      <c r="B29"/>
      <c r="C29"/>
      <c r="D29"/>
      <c r="E29"/>
      <c r="F29"/>
      <c r="G29"/>
      <c r="H29"/>
      <c r="I29"/>
      <c r="J29"/>
      <c r="K29" s="94"/>
      <c r="L29" s="92"/>
    </row>
    <row r="30" spans="1:16" s="84" customFormat="1" ht="62.25" hidden="1" customHeight="1" outlineLevel="1">
      <c r="A30"/>
      <c r="B30"/>
      <c r="C30"/>
      <c r="D30"/>
      <c r="E30"/>
      <c r="F30"/>
      <c r="G30"/>
      <c r="H30"/>
      <c r="I30"/>
      <c r="J30"/>
      <c r="K30" s="94"/>
      <c r="L30" s="92"/>
    </row>
    <row r="31" spans="1:16" s="4" customFormat="1" hidden="1" outlineLevel="1">
      <c r="A31"/>
      <c r="B31"/>
      <c r="C31"/>
      <c r="D31"/>
      <c r="E31"/>
      <c r="F31"/>
      <c r="G31"/>
      <c r="H31"/>
      <c r="I31"/>
      <c r="J31"/>
      <c r="K31" s="94"/>
      <c r="L31" s="92"/>
    </row>
    <row r="32" spans="1:16" s="84" customFormat="1" ht="87.75" hidden="1" customHeight="1" outlineLevel="1">
      <c r="A32"/>
      <c r="B32"/>
      <c r="C32"/>
      <c r="D32"/>
      <c r="E32"/>
      <c r="F32"/>
      <c r="G32"/>
      <c r="H32"/>
      <c r="I32"/>
      <c r="J32"/>
      <c r="K32" s="94"/>
      <c r="L32" s="92"/>
    </row>
    <row r="33" spans="1:12" s="4" customFormat="1" collapsed="1">
      <c r="A33"/>
      <c r="B33"/>
      <c r="C33"/>
      <c r="D33"/>
      <c r="E33"/>
      <c r="F33"/>
      <c r="G33"/>
      <c r="H33"/>
      <c r="I33"/>
      <c r="J33"/>
      <c r="K33" s="94"/>
      <c r="L33" s="92"/>
    </row>
    <row r="34" spans="1:12" s="84" customFormat="1" ht="101.25" hidden="1" customHeight="1" outlineLevel="1">
      <c r="A34"/>
      <c r="B34"/>
      <c r="C34"/>
      <c r="D34"/>
      <c r="E34"/>
      <c r="F34"/>
      <c r="G34"/>
      <c r="H34"/>
      <c r="I34"/>
      <c r="J34"/>
      <c r="K34" s="94"/>
      <c r="L34" s="92"/>
    </row>
    <row r="35" spans="1:12" s="84" customFormat="1" ht="96" hidden="1" customHeight="1" outlineLevel="1">
      <c r="A35"/>
      <c r="B35"/>
      <c r="C35"/>
      <c r="D35"/>
      <c r="E35"/>
      <c r="F35"/>
      <c r="G35"/>
      <c r="H35"/>
      <c r="I35"/>
      <c r="J35"/>
      <c r="K35" s="94"/>
      <c r="L35" s="92"/>
    </row>
    <row r="36" spans="1:12" s="84" customFormat="1" ht="96" hidden="1" customHeight="1" outlineLevel="1">
      <c r="A36"/>
      <c r="B36"/>
      <c r="C36"/>
      <c r="D36"/>
      <c r="E36"/>
      <c r="F36"/>
      <c r="G36"/>
      <c r="H36"/>
      <c r="I36"/>
      <c r="J36"/>
      <c r="K36" s="94"/>
      <c r="L36" s="92"/>
    </row>
    <row r="37" spans="1:12" s="4" customFormat="1" collapsed="1">
      <c r="A37"/>
      <c r="B37"/>
      <c r="C37"/>
      <c r="D37"/>
      <c r="E37"/>
      <c r="F37"/>
      <c r="G37"/>
      <c r="H37"/>
      <c r="I37"/>
      <c r="J37"/>
      <c r="K37" s="94"/>
      <c r="L37" s="92"/>
    </row>
    <row r="38" spans="1:12" s="84" customFormat="1" ht="27.75" hidden="1" customHeight="1" outlineLevel="1">
      <c r="A38"/>
      <c r="B38"/>
      <c r="C38"/>
      <c r="D38"/>
      <c r="E38"/>
      <c r="F38"/>
      <c r="G38"/>
      <c r="H38"/>
      <c r="I38"/>
      <c r="J38"/>
      <c r="K38" s="94"/>
      <c r="L38" s="92"/>
    </row>
    <row r="39" spans="1:12" s="84" customFormat="1" ht="27.75" hidden="1" customHeight="1" outlineLevel="1">
      <c r="A39"/>
      <c r="B39"/>
      <c r="C39"/>
      <c r="D39"/>
      <c r="E39"/>
      <c r="F39"/>
      <c r="G39"/>
      <c r="H39"/>
      <c r="I39"/>
      <c r="J39"/>
      <c r="K39" s="94"/>
      <c r="L39" s="92"/>
    </row>
    <row r="40" spans="1:12" s="84" customFormat="1" ht="81" hidden="1" customHeight="1" outlineLevel="1">
      <c r="A40"/>
      <c r="B40"/>
      <c r="C40"/>
      <c r="D40"/>
      <c r="E40"/>
      <c r="F40"/>
      <c r="G40"/>
      <c r="H40"/>
      <c r="I40"/>
      <c r="J40"/>
      <c r="K40" s="94"/>
      <c r="L40" s="92"/>
    </row>
    <row r="41" spans="1:12" s="4" customFormat="1">
      <c r="A41"/>
      <c r="B41"/>
      <c r="C41"/>
      <c r="D41"/>
      <c r="E41"/>
      <c r="F41"/>
      <c r="G41"/>
      <c r="H41"/>
      <c r="I41"/>
      <c r="J41"/>
      <c r="K41" s="94"/>
      <c r="L41" s="92"/>
    </row>
    <row r="42" spans="1:12" s="4" customFormat="1" outlineLevel="1">
      <c r="A42"/>
      <c r="B42"/>
      <c r="C42"/>
      <c r="D42"/>
      <c r="E42"/>
      <c r="F42"/>
      <c r="G42"/>
      <c r="H42"/>
      <c r="I42"/>
      <c r="J42"/>
      <c r="K42" s="94"/>
      <c r="L42" s="92"/>
    </row>
    <row r="43" spans="1:12" s="84" customFormat="1" ht="87.75" customHeight="1" outlineLevel="1">
      <c r="A43"/>
      <c r="B43"/>
      <c r="C43"/>
      <c r="D43"/>
      <c r="E43"/>
      <c r="F43"/>
      <c r="G43"/>
      <c r="H43"/>
      <c r="I43"/>
      <c r="J43"/>
      <c r="K43" s="94"/>
      <c r="L43" s="92"/>
    </row>
    <row r="44" spans="1:12" s="84" customFormat="1" ht="87.75" customHeight="1" outlineLevel="1">
      <c r="A44"/>
      <c r="B44"/>
      <c r="C44"/>
      <c r="D44"/>
      <c r="E44"/>
      <c r="F44"/>
      <c r="G44"/>
      <c r="H44"/>
      <c r="I44"/>
      <c r="J44"/>
      <c r="K44" s="94"/>
      <c r="L44" s="92"/>
    </row>
    <row r="45" spans="1:12" s="4" customFormat="1" outlineLevel="1">
      <c r="A45"/>
      <c r="B45"/>
      <c r="C45"/>
      <c r="D45"/>
      <c r="E45"/>
      <c r="F45"/>
      <c r="G45"/>
      <c r="H45"/>
      <c r="I45"/>
      <c r="J45"/>
      <c r="K45" s="94"/>
      <c r="L45" s="92"/>
    </row>
    <row r="46" spans="1:12" s="84" customFormat="1" ht="87.75" customHeight="1" outlineLevel="1">
      <c r="A46"/>
      <c r="B46"/>
      <c r="C46"/>
      <c r="D46"/>
      <c r="E46"/>
      <c r="F46"/>
      <c r="G46"/>
      <c r="H46"/>
      <c r="I46"/>
      <c r="J46"/>
      <c r="K46" s="94"/>
      <c r="L46" s="92"/>
    </row>
    <row r="47" spans="1:12" s="84" customFormat="1" ht="87.75" customHeight="1" outlineLevel="1">
      <c r="A47"/>
      <c r="B47"/>
      <c r="C47"/>
      <c r="D47"/>
      <c r="E47"/>
      <c r="F47"/>
      <c r="G47"/>
      <c r="H47"/>
      <c r="I47"/>
      <c r="J47"/>
      <c r="K47" s="94"/>
      <c r="L47" s="92"/>
    </row>
    <row r="48" spans="1:12" s="4" customFormat="1" outlineLevel="1">
      <c r="A48"/>
      <c r="B48"/>
      <c r="C48"/>
      <c r="D48"/>
      <c r="E48"/>
      <c r="F48"/>
      <c r="G48"/>
      <c r="H48"/>
      <c r="I48"/>
      <c r="J48"/>
      <c r="K48" s="94"/>
      <c r="L48" s="92"/>
    </row>
    <row r="49" spans="1:12" s="84" customFormat="1" ht="87.75" customHeight="1" outlineLevel="1">
      <c r="A49"/>
      <c r="B49"/>
      <c r="C49"/>
      <c r="D49"/>
      <c r="E49"/>
      <c r="F49"/>
      <c r="G49"/>
      <c r="H49"/>
      <c r="I49"/>
      <c r="J49"/>
      <c r="K49" s="94"/>
      <c r="L49" s="92"/>
    </row>
    <row r="50" spans="1:12" s="84" customFormat="1" ht="87.75" customHeight="1" outlineLevel="1">
      <c r="A50"/>
      <c r="B50"/>
      <c r="C50"/>
      <c r="D50"/>
      <c r="E50"/>
      <c r="F50"/>
      <c r="G50"/>
      <c r="H50"/>
      <c r="I50"/>
      <c r="J50"/>
      <c r="K50" s="94"/>
      <c r="L50" s="92"/>
    </row>
    <row r="51" spans="1:12" s="4" customFormat="1" outlineLevel="1">
      <c r="A51"/>
      <c r="B51"/>
      <c r="C51"/>
      <c r="D51"/>
      <c r="E51"/>
      <c r="F51"/>
      <c r="G51"/>
      <c r="H51"/>
      <c r="I51"/>
      <c r="J51"/>
      <c r="K51" s="94"/>
      <c r="L51" s="92"/>
    </row>
    <row r="52" spans="1:12" s="84" customFormat="1" ht="87.75" customHeight="1" outlineLevel="1">
      <c r="A52"/>
      <c r="B52"/>
      <c r="C52"/>
      <c r="D52"/>
      <c r="E52"/>
      <c r="F52"/>
      <c r="G52"/>
      <c r="H52"/>
      <c r="I52"/>
      <c r="J52"/>
      <c r="K52" s="94"/>
      <c r="L52" s="92"/>
    </row>
    <row r="53" spans="1:12" s="84" customFormat="1" ht="87.75" customHeight="1" outlineLevel="1">
      <c r="A53"/>
      <c r="B53"/>
      <c r="C53"/>
      <c r="D53"/>
      <c r="E53"/>
      <c r="F53"/>
      <c r="G53"/>
      <c r="H53"/>
      <c r="I53"/>
      <c r="J53"/>
      <c r="K53" s="94"/>
      <c r="L53" s="92"/>
    </row>
    <row r="54" spans="1:12" s="4" customFormat="1">
      <c r="A54"/>
      <c r="B54"/>
      <c r="C54"/>
      <c r="D54"/>
      <c r="E54"/>
      <c r="F54"/>
      <c r="G54"/>
      <c r="H54"/>
      <c r="I54"/>
      <c r="J54"/>
      <c r="K54" s="94"/>
      <c r="L54" s="92"/>
    </row>
    <row r="55" spans="1:12" s="84" customFormat="1" ht="87.75" customHeight="1" outlineLevel="1">
      <c r="A55"/>
      <c r="B55"/>
      <c r="C55"/>
      <c r="D55"/>
      <c r="E55"/>
      <c r="F55"/>
      <c r="G55"/>
      <c r="H55"/>
      <c r="I55"/>
      <c r="J55"/>
      <c r="K55" s="94"/>
      <c r="L55" s="92"/>
    </row>
    <row r="56" spans="1:12" s="84" customFormat="1" ht="87.75" customHeight="1" outlineLevel="1">
      <c r="A56"/>
      <c r="B56"/>
      <c r="C56"/>
      <c r="D56"/>
      <c r="E56"/>
      <c r="F56"/>
      <c r="G56"/>
      <c r="H56"/>
      <c r="I56"/>
      <c r="J56"/>
      <c r="K56" s="94"/>
      <c r="L56" s="92"/>
    </row>
    <row r="57" spans="1:12" ht="12" customHeight="1"/>
    <row r="58" spans="1:12" ht="12" customHeight="1"/>
    <row r="59" spans="1:12" ht="12" customHeight="1"/>
    <row r="60" spans="1:12" ht="12" customHeight="1"/>
    <row r="61" spans="1:12" ht="12" customHeight="1"/>
    <row r="62" spans="1:12" ht="12" customHeight="1"/>
    <row r="63" spans="1:12" ht="12" customHeight="1"/>
    <row r="64" spans="1:12"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sheetData>
  <mergeCells count="22">
    <mergeCell ref="B5:D5"/>
    <mergeCell ref="J5:L5"/>
    <mergeCell ref="B1:D2"/>
    <mergeCell ref="B3:D3"/>
    <mergeCell ref="J3:L3"/>
    <mergeCell ref="B4:D4"/>
    <mergeCell ref="J4:L4"/>
    <mergeCell ref="J6:L6"/>
    <mergeCell ref="J7:L7"/>
    <mergeCell ref="A8:D8"/>
    <mergeCell ref="A9:A10"/>
    <mergeCell ref="B9:B10"/>
    <mergeCell ref="C9:C10"/>
    <mergeCell ref="D9:G10"/>
    <mergeCell ref="H9:H10"/>
    <mergeCell ref="I9:I10"/>
    <mergeCell ref="J9:J10"/>
    <mergeCell ref="K9:K10"/>
    <mergeCell ref="L9:L10"/>
    <mergeCell ref="A11:L11"/>
    <mergeCell ref="A12:L12"/>
    <mergeCell ref="D13:F13"/>
  </mergeCells>
  <pageMargins left="0.75" right="0.75" top="1" bottom="1" header="0.5" footer="0.5"/>
  <pageSetup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5841D-66FD-488C-A52D-4B06241436ED}">
  <sheetPr>
    <outlinePr summaryBelow="0" summaryRight="0"/>
  </sheetPr>
  <dimension ref="A1:P94"/>
  <sheetViews>
    <sheetView topLeftCell="A2" zoomScale="130" zoomScaleNormal="130" workbookViewId="0">
      <selection activeCell="A13" sqref="A13"/>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25.5546875" customWidth="1"/>
    <col min="9" max="9" width="24.77734375" customWidth="1"/>
    <col min="10" max="10" width="17.21875" customWidth="1"/>
    <col min="11" max="11" width="8.88671875" style="94"/>
    <col min="12" max="12" width="38.44140625" style="92" customWidth="1"/>
  </cols>
  <sheetData>
    <row r="1" spans="1:13" s="2" customFormat="1" ht="12.75" customHeight="1">
      <c r="A1" s="58" t="s">
        <v>22</v>
      </c>
      <c r="B1" s="145"/>
      <c r="C1" s="145"/>
      <c r="D1" s="145"/>
      <c r="E1" s="6"/>
      <c r="F1" s="6"/>
      <c r="G1" s="6"/>
      <c r="H1" s="6"/>
      <c r="I1" s="6"/>
      <c r="J1" s="6"/>
      <c r="K1" s="108"/>
      <c r="L1" s="6"/>
      <c r="M1" s="7"/>
    </row>
    <row r="2" spans="1:13" s="2" customFormat="1" ht="11.25" customHeight="1" thickBot="1">
      <c r="A2" s="7"/>
      <c r="B2" s="146"/>
      <c r="C2" s="146"/>
      <c r="D2" s="146"/>
      <c r="E2" s="6"/>
      <c r="F2" s="6"/>
      <c r="G2" s="6"/>
      <c r="H2" s="6"/>
      <c r="I2" s="6"/>
      <c r="J2" s="6"/>
      <c r="K2" s="108"/>
      <c r="L2" s="6"/>
      <c r="M2" s="7"/>
    </row>
    <row r="3" spans="1:13" s="3" customFormat="1" ht="15" customHeight="1">
      <c r="A3" s="59" t="s">
        <v>54</v>
      </c>
      <c r="B3" s="121" t="s">
        <v>206</v>
      </c>
      <c r="C3" s="121"/>
      <c r="D3" s="122"/>
      <c r="E3" s="62"/>
      <c r="F3" s="62"/>
      <c r="G3" s="62"/>
      <c r="H3" s="62"/>
      <c r="I3" s="62"/>
      <c r="J3" s="133"/>
      <c r="K3" s="133"/>
      <c r="L3" s="133"/>
      <c r="M3" s="9"/>
    </row>
    <row r="4" spans="1:13" s="3" customFormat="1" ht="13.2">
      <c r="A4" s="64" t="s">
        <v>55</v>
      </c>
      <c r="B4" s="147" t="s">
        <v>324</v>
      </c>
      <c r="C4" s="148"/>
      <c r="D4" s="149"/>
      <c r="E4" s="62"/>
      <c r="F4" s="62"/>
      <c r="G4" s="62"/>
      <c r="H4" s="62"/>
      <c r="I4" s="62"/>
      <c r="J4" s="133"/>
      <c r="K4" s="133"/>
      <c r="L4" s="133"/>
      <c r="M4" s="9"/>
    </row>
    <row r="5" spans="1:13" s="72" customFormat="1" ht="26.4">
      <c r="A5" s="64" t="s">
        <v>48</v>
      </c>
      <c r="B5" s="150" t="s">
        <v>325</v>
      </c>
      <c r="C5" s="151"/>
      <c r="D5" s="152"/>
      <c r="E5" s="70"/>
      <c r="F5" s="70"/>
      <c r="G5" s="70"/>
      <c r="H5" s="70"/>
      <c r="I5" s="70"/>
      <c r="J5" s="153"/>
      <c r="K5" s="153"/>
      <c r="L5" s="153"/>
      <c r="M5" s="71"/>
    </row>
    <row r="6" spans="1:13" s="3" customFormat="1" ht="15" customHeight="1">
      <c r="A6" s="12" t="s">
        <v>56</v>
      </c>
      <c r="B6" s="86">
        <f>COUNTIF(K12:K14,"Pass")</f>
        <v>1</v>
      </c>
      <c r="C6" s="10" t="s">
        <v>57</v>
      </c>
      <c r="D6" s="13">
        <f>COUNTIF(K10:K730,"Pending")</f>
        <v>0</v>
      </c>
      <c r="E6" s="115"/>
      <c r="F6" s="115"/>
      <c r="G6" s="115"/>
      <c r="H6" s="115"/>
      <c r="I6" s="115"/>
      <c r="J6" s="133"/>
      <c r="K6" s="133"/>
      <c r="L6" s="133"/>
      <c r="M6" s="9"/>
    </row>
    <row r="7" spans="1:13" s="3" customFormat="1" ht="15" customHeight="1" thickBot="1">
      <c r="A7" s="14" t="s">
        <v>20</v>
      </c>
      <c r="B7" s="87">
        <f>COUNTIF(K12:K14,"Fail")</f>
        <v>0</v>
      </c>
      <c r="C7" s="29" t="s">
        <v>46</v>
      </c>
      <c r="D7" s="60">
        <f>COUNTA(#REF!)</f>
        <v>1</v>
      </c>
      <c r="E7" s="63"/>
      <c r="F7" s="63"/>
      <c r="G7" s="63"/>
      <c r="H7" s="63"/>
      <c r="I7" s="63"/>
      <c r="J7" s="133"/>
      <c r="K7" s="133"/>
      <c r="L7" s="133"/>
      <c r="M7" s="9"/>
    </row>
    <row r="8" spans="1:13" s="3" customFormat="1" ht="15" customHeight="1">
      <c r="A8" s="134"/>
      <c r="B8" s="134"/>
      <c r="C8" s="134"/>
      <c r="D8" s="134"/>
      <c r="E8" s="115"/>
      <c r="F8" s="115"/>
      <c r="G8" s="115"/>
      <c r="H8" s="115"/>
      <c r="I8" s="115"/>
      <c r="J8" s="115"/>
      <c r="K8" s="109"/>
      <c r="L8" s="109"/>
      <c r="M8" s="9"/>
    </row>
    <row r="9" spans="1:13" s="74" customFormat="1" ht="12" customHeight="1">
      <c r="A9" s="124" t="s">
        <v>49</v>
      </c>
      <c r="B9" s="136" t="s">
        <v>23</v>
      </c>
      <c r="C9" s="124" t="s">
        <v>34</v>
      </c>
      <c r="D9" s="138" t="s">
        <v>47</v>
      </c>
      <c r="E9" s="139"/>
      <c r="F9" s="139"/>
      <c r="G9" s="140"/>
      <c r="H9" s="123" t="s">
        <v>211</v>
      </c>
      <c r="I9" s="123" t="s">
        <v>193</v>
      </c>
      <c r="J9" s="144" t="s">
        <v>45</v>
      </c>
      <c r="K9" s="135" t="s">
        <v>24</v>
      </c>
      <c r="L9" s="135" t="s">
        <v>50</v>
      </c>
      <c r="M9" s="73"/>
    </row>
    <row r="10" spans="1:13" s="3" customFormat="1" ht="12" customHeight="1">
      <c r="A10" s="135"/>
      <c r="B10" s="137"/>
      <c r="C10" s="135"/>
      <c r="D10" s="141"/>
      <c r="E10" s="142"/>
      <c r="F10" s="142"/>
      <c r="G10" s="143"/>
      <c r="H10" s="124"/>
      <c r="I10" s="124"/>
      <c r="J10" s="141"/>
      <c r="K10" s="135"/>
      <c r="L10" s="135"/>
      <c r="M10" s="9"/>
    </row>
    <row r="11" spans="1:13" s="75" customFormat="1" ht="15">
      <c r="A11" s="127"/>
      <c r="B11" s="127"/>
      <c r="C11" s="127"/>
      <c r="D11" s="127"/>
      <c r="E11" s="127"/>
      <c r="F11" s="127"/>
      <c r="G11" s="127"/>
      <c r="H11" s="127"/>
      <c r="I11" s="127"/>
      <c r="J11" s="127"/>
      <c r="K11" s="127"/>
      <c r="L11" s="128"/>
    </row>
    <row r="12" spans="1:13" s="4" customFormat="1" ht="13.2">
      <c r="A12" s="129" t="s">
        <v>344</v>
      </c>
      <c r="B12" s="130"/>
      <c r="C12" s="130"/>
      <c r="D12" s="130"/>
      <c r="E12" s="130"/>
      <c r="F12" s="130"/>
      <c r="G12" s="130"/>
      <c r="H12" s="130"/>
      <c r="I12" s="130"/>
      <c r="J12" s="130"/>
      <c r="K12" s="130"/>
      <c r="L12" s="131"/>
    </row>
    <row r="13" spans="1:13" s="4" customFormat="1" ht="79.2" customHeight="1" outlineLevel="1">
      <c r="A13" s="79" t="s">
        <v>326</v>
      </c>
      <c r="B13" s="95" t="s">
        <v>327</v>
      </c>
      <c r="C13" s="96" t="s">
        <v>328</v>
      </c>
      <c r="D13" s="125" t="s">
        <v>330</v>
      </c>
      <c r="E13" s="156"/>
      <c r="F13" s="156"/>
      <c r="G13" s="77"/>
      <c r="H13" s="114" t="s">
        <v>329</v>
      </c>
      <c r="I13" s="78" t="s">
        <v>288</v>
      </c>
      <c r="J13" s="118" t="s">
        <v>331</v>
      </c>
      <c r="K13" s="78" t="s">
        <v>56</v>
      </c>
      <c r="L13" s="76"/>
    </row>
    <row r="14" spans="1:13" s="4" customFormat="1" ht="93.6" customHeight="1" outlineLevel="1">
      <c r="A14"/>
      <c r="B14"/>
      <c r="C14"/>
      <c r="D14"/>
      <c r="E14"/>
      <c r="F14"/>
      <c r="G14"/>
      <c r="H14"/>
      <c r="I14"/>
      <c r="J14"/>
      <c r="K14" s="94"/>
      <c r="L14" s="92"/>
    </row>
    <row r="15" spans="1:13" s="4" customFormat="1" outlineLevel="1">
      <c r="A15"/>
      <c r="B15"/>
      <c r="C15"/>
      <c r="D15"/>
      <c r="E15"/>
      <c r="F15"/>
      <c r="G15"/>
      <c r="H15"/>
      <c r="I15"/>
      <c r="J15"/>
      <c r="K15" s="94"/>
      <c r="L15" s="92"/>
    </row>
    <row r="16" spans="1:13" s="4" customFormat="1" outlineLevel="1">
      <c r="A16"/>
      <c r="B16"/>
      <c r="C16"/>
      <c r="D16"/>
      <c r="E16"/>
      <c r="F16"/>
      <c r="G16"/>
      <c r="H16"/>
      <c r="I16"/>
      <c r="J16"/>
      <c r="K16" s="94"/>
      <c r="L16" s="92"/>
    </row>
    <row r="17" spans="1:16" s="4" customFormat="1">
      <c r="A17"/>
      <c r="B17"/>
      <c r="C17"/>
      <c r="D17"/>
      <c r="E17"/>
      <c r="F17"/>
      <c r="G17"/>
      <c r="H17"/>
      <c r="I17"/>
      <c r="J17"/>
      <c r="K17" s="94"/>
      <c r="L17" s="92"/>
    </row>
    <row r="18" spans="1:16" s="84" customFormat="1" ht="228.75" customHeight="1" outlineLevel="1">
      <c r="A18"/>
      <c r="B18"/>
      <c r="C18"/>
      <c r="D18"/>
      <c r="E18"/>
      <c r="F18"/>
      <c r="G18"/>
      <c r="H18"/>
      <c r="I18"/>
      <c r="J18"/>
      <c r="K18" s="94"/>
      <c r="L18" s="92"/>
    </row>
    <row r="19" spans="1:16" s="84" customFormat="1" ht="207.75" customHeight="1" outlineLevel="1">
      <c r="A19"/>
      <c r="B19"/>
      <c r="C19"/>
      <c r="D19"/>
      <c r="E19"/>
      <c r="F19"/>
      <c r="G19"/>
      <c r="H19"/>
      <c r="I19"/>
      <c r="J19"/>
      <c r="K19" s="94"/>
      <c r="L19" s="92"/>
    </row>
    <row r="20" spans="1:16" s="84" customFormat="1" ht="255" customHeight="1" outlineLevel="1">
      <c r="A20"/>
      <c r="B20"/>
      <c r="C20"/>
      <c r="D20"/>
      <c r="E20"/>
      <c r="F20"/>
      <c r="G20"/>
      <c r="H20"/>
      <c r="I20"/>
      <c r="J20"/>
      <c r="K20" s="94"/>
      <c r="L20" s="92"/>
      <c r="M20" s="99"/>
      <c r="N20" s="99"/>
      <c r="O20" s="99"/>
      <c r="P20" s="99"/>
    </row>
    <row r="21" spans="1:16" s="84" customFormat="1" ht="276.75" customHeight="1" outlineLevel="1">
      <c r="A21"/>
      <c r="B21"/>
      <c r="C21"/>
      <c r="D21"/>
      <c r="E21"/>
      <c r="F21"/>
      <c r="G21"/>
      <c r="H21"/>
      <c r="I21"/>
      <c r="J21"/>
      <c r="K21" s="94"/>
      <c r="L21" s="92"/>
    </row>
    <row r="22" spans="1:16" s="4" customFormat="1" collapsed="1">
      <c r="A22"/>
      <c r="B22"/>
      <c r="C22"/>
      <c r="D22"/>
      <c r="E22"/>
      <c r="F22"/>
      <c r="G22"/>
      <c r="H22"/>
      <c r="I22"/>
      <c r="J22"/>
      <c r="K22" s="94"/>
      <c r="L22" s="92"/>
    </row>
    <row r="23" spans="1:16" s="4" customFormat="1" hidden="1" outlineLevel="1">
      <c r="A23"/>
      <c r="B23"/>
      <c r="C23"/>
      <c r="D23"/>
      <c r="E23"/>
      <c r="F23"/>
      <c r="G23"/>
      <c r="H23"/>
      <c r="I23"/>
      <c r="J23"/>
      <c r="K23" s="94"/>
      <c r="L23" s="92"/>
    </row>
    <row r="24" spans="1:16" s="84" customFormat="1" ht="70.5" hidden="1" customHeight="1" outlineLevel="1">
      <c r="A24"/>
      <c r="B24"/>
      <c r="C24"/>
      <c r="D24"/>
      <c r="E24"/>
      <c r="F24"/>
      <c r="G24"/>
      <c r="H24"/>
      <c r="I24"/>
      <c r="J24"/>
      <c r="K24" s="94"/>
      <c r="L24" s="92"/>
    </row>
    <row r="25" spans="1:16" s="84" customFormat="1" ht="87.75" hidden="1" customHeight="1" outlineLevel="1">
      <c r="A25"/>
      <c r="B25"/>
      <c r="C25"/>
      <c r="D25"/>
      <c r="E25"/>
      <c r="F25"/>
      <c r="G25"/>
      <c r="H25"/>
      <c r="I25"/>
      <c r="J25"/>
      <c r="K25" s="94"/>
      <c r="L25" s="92"/>
    </row>
    <row r="26" spans="1:16" s="84" customFormat="1" ht="87.75" hidden="1" customHeight="1" outlineLevel="1">
      <c r="A26"/>
      <c r="B26"/>
      <c r="C26"/>
      <c r="D26"/>
      <c r="E26"/>
      <c r="F26"/>
      <c r="G26"/>
      <c r="H26"/>
      <c r="I26"/>
      <c r="J26"/>
      <c r="K26" s="94"/>
      <c r="L26" s="92"/>
    </row>
    <row r="27" spans="1:16" s="84" customFormat="1" ht="59.25" hidden="1" customHeight="1" outlineLevel="1">
      <c r="A27"/>
      <c r="B27"/>
      <c r="C27"/>
      <c r="D27"/>
      <c r="E27"/>
      <c r="F27"/>
      <c r="G27"/>
      <c r="H27"/>
      <c r="I27"/>
      <c r="J27"/>
      <c r="K27" s="94"/>
      <c r="L27" s="92"/>
    </row>
    <row r="28" spans="1:16" s="84" customFormat="1" ht="56.25" hidden="1" customHeight="1" outlineLevel="1">
      <c r="A28"/>
      <c r="B28"/>
      <c r="C28"/>
      <c r="D28"/>
      <c r="E28"/>
      <c r="F28"/>
      <c r="G28"/>
      <c r="H28"/>
      <c r="I28"/>
      <c r="J28"/>
      <c r="K28" s="94"/>
      <c r="L28" s="92"/>
    </row>
    <row r="29" spans="1:16" s="84" customFormat="1" ht="87.75" hidden="1" customHeight="1" outlineLevel="1">
      <c r="A29"/>
      <c r="B29"/>
      <c r="C29"/>
      <c r="D29"/>
      <c r="E29"/>
      <c r="F29"/>
      <c r="G29"/>
      <c r="H29"/>
      <c r="I29"/>
      <c r="J29"/>
      <c r="K29" s="94"/>
      <c r="L29" s="92"/>
    </row>
    <row r="30" spans="1:16" s="84" customFormat="1" ht="62.25" hidden="1" customHeight="1" outlineLevel="1">
      <c r="A30"/>
      <c r="B30"/>
      <c r="C30"/>
      <c r="D30"/>
      <c r="E30"/>
      <c r="F30"/>
      <c r="G30"/>
      <c r="H30"/>
      <c r="I30"/>
      <c r="J30"/>
      <c r="K30" s="94"/>
      <c r="L30" s="92"/>
    </row>
    <row r="31" spans="1:16" s="4" customFormat="1" hidden="1" outlineLevel="1">
      <c r="A31"/>
      <c r="B31"/>
      <c r="C31"/>
      <c r="D31"/>
      <c r="E31"/>
      <c r="F31"/>
      <c r="G31"/>
      <c r="H31"/>
      <c r="I31"/>
      <c r="J31"/>
      <c r="K31" s="94"/>
      <c r="L31" s="92"/>
    </row>
    <row r="32" spans="1:16" s="84" customFormat="1" ht="87.75" hidden="1" customHeight="1" outlineLevel="1">
      <c r="A32"/>
      <c r="B32"/>
      <c r="C32"/>
      <c r="D32"/>
      <c r="E32"/>
      <c r="F32"/>
      <c r="G32"/>
      <c r="H32"/>
      <c r="I32"/>
      <c r="J32"/>
      <c r="K32" s="94"/>
      <c r="L32" s="92"/>
    </row>
    <row r="33" spans="1:12" s="4" customFormat="1" collapsed="1">
      <c r="A33"/>
      <c r="B33"/>
      <c r="C33"/>
      <c r="D33"/>
      <c r="E33"/>
      <c r="F33"/>
      <c r="G33"/>
      <c r="H33"/>
      <c r="I33"/>
      <c r="J33"/>
      <c r="K33" s="94"/>
      <c r="L33" s="92"/>
    </row>
    <row r="34" spans="1:12" s="84" customFormat="1" ht="101.25" hidden="1" customHeight="1" outlineLevel="1">
      <c r="A34"/>
      <c r="B34"/>
      <c r="C34"/>
      <c r="D34"/>
      <c r="E34"/>
      <c r="F34"/>
      <c r="G34"/>
      <c r="H34"/>
      <c r="I34"/>
      <c r="J34"/>
      <c r="K34" s="94"/>
      <c r="L34" s="92"/>
    </row>
    <row r="35" spans="1:12" s="84" customFormat="1" ht="96" hidden="1" customHeight="1" outlineLevel="1">
      <c r="A35"/>
      <c r="B35"/>
      <c r="C35"/>
      <c r="D35"/>
      <c r="E35"/>
      <c r="F35"/>
      <c r="G35"/>
      <c r="H35"/>
      <c r="I35"/>
      <c r="J35"/>
      <c r="K35" s="94"/>
      <c r="L35" s="92"/>
    </row>
    <row r="36" spans="1:12" s="84" customFormat="1" ht="96" hidden="1" customHeight="1" outlineLevel="1">
      <c r="A36"/>
      <c r="B36"/>
      <c r="C36"/>
      <c r="D36"/>
      <c r="E36"/>
      <c r="F36"/>
      <c r="G36"/>
      <c r="H36"/>
      <c r="I36"/>
      <c r="J36"/>
      <c r="K36" s="94"/>
      <c r="L36" s="92"/>
    </row>
    <row r="37" spans="1:12" s="4" customFormat="1" collapsed="1">
      <c r="A37"/>
      <c r="B37"/>
      <c r="C37"/>
      <c r="D37"/>
      <c r="E37"/>
      <c r="F37"/>
      <c r="G37"/>
      <c r="H37"/>
      <c r="I37"/>
      <c r="J37"/>
      <c r="K37" s="94"/>
      <c r="L37" s="92"/>
    </row>
    <row r="38" spans="1:12" s="84" customFormat="1" ht="27.75" hidden="1" customHeight="1" outlineLevel="1">
      <c r="A38"/>
      <c r="B38"/>
      <c r="C38"/>
      <c r="D38"/>
      <c r="E38"/>
      <c r="F38"/>
      <c r="G38"/>
      <c r="H38"/>
      <c r="I38"/>
      <c r="J38"/>
      <c r="K38" s="94"/>
      <c r="L38" s="92"/>
    </row>
    <row r="39" spans="1:12" s="84" customFormat="1" ht="27.75" hidden="1" customHeight="1" outlineLevel="1">
      <c r="A39"/>
      <c r="B39"/>
      <c r="C39"/>
      <c r="D39"/>
      <c r="E39"/>
      <c r="F39"/>
      <c r="G39"/>
      <c r="H39"/>
      <c r="I39"/>
      <c r="J39"/>
      <c r="K39" s="94"/>
      <c r="L39" s="92"/>
    </row>
    <row r="40" spans="1:12" s="84" customFormat="1" ht="81" hidden="1" customHeight="1" outlineLevel="1">
      <c r="A40"/>
      <c r="B40"/>
      <c r="C40"/>
      <c r="D40"/>
      <c r="E40"/>
      <c r="F40"/>
      <c r="G40"/>
      <c r="H40"/>
      <c r="I40"/>
      <c r="J40"/>
      <c r="K40" s="94"/>
      <c r="L40" s="92"/>
    </row>
    <row r="41" spans="1:12" s="4" customFormat="1">
      <c r="A41"/>
      <c r="B41"/>
      <c r="C41"/>
      <c r="D41"/>
      <c r="E41"/>
      <c r="F41"/>
      <c r="G41"/>
      <c r="H41"/>
      <c r="I41"/>
      <c r="J41"/>
      <c r="K41" s="94"/>
      <c r="L41" s="92"/>
    </row>
    <row r="42" spans="1:12" s="4" customFormat="1" outlineLevel="1">
      <c r="A42"/>
      <c r="B42"/>
      <c r="C42"/>
      <c r="D42"/>
      <c r="E42"/>
      <c r="F42"/>
      <c r="G42"/>
      <c r="H42"/>
      <c r="I42"/>
      <c r="J42"/>
      <c r="K42" s="94"/>
      <c r="L42" s="92"/>
    </row>
    <row r="43" spans="1:12" s="84" customFormat="1" ht="87.75" customHeight="1" outlineLevel="1">
      <c r="A43"/>
      <c r="B43"/>
      <c r="C43"/>
      <c r="D43"/>
      <c r="E43"/>
      <c r="F43"/>
      <c r="G43"/>
      <c r="H43"/>
      <c r="I43"/>
      <c r="J43"/>
      <c r="K43" s="94"/>
      <c r="L43" s="92"/>
    </row>
    <row r="44" spans="1:12" s="84" customFormat="1" ht="87.75" customHeight="1" outlineLevel="1">
      <c r="A44"/>
      <c r="B44"/>
      <c r="C44"/>
      <c r="D44"/>
      <c r="E44"/>
      <c r="F44"/>
      <c r="G44"/>
      <c r="H44"/>
      <c r="I44"/>
      <c r="J44"/>
      <c r="K44" s="94"/>
      <c r="L44" s="92"/>
    </row>
    <row r="45" spans="1:12" s="4" customFormat="1" outlineLevel="1">
      <c r="A45"/>
      <c r="B45"/>
      <c r="C45"/>
      <c r="D45"/>
      <c r="E45"/>
      <c r="F45"/>
      <c r="G45"/>
      <c r="H45"/>
      <c r="I45"/>
      <c r="J45"/>
      <c r="K45" s="94"/>
      <c r="L45" s="92"/>
    </row>
    <row r="46" spans="1:12" s="84" customFormat="1" ht="87.75" customHeight="1" outlineLevel="1">
      <c r="A46"/>
      <c r="B46"/>
      <c r="C46"/>
      <c r="D46"/>
      <c r="E46"/>
      <c r="F46"/>
      <c r="G46"/>
      <c r="H46"/>
      <c r="I46"/>
      <c r="J46"/>
      <c r="K46" s="94"/>
      <c r="L46" s="92"/>
    </row>
    <row r="47" spans="1:12" s="84" customFormat="1" ht="87.75" customHeight="1" outlineLevel="1">
      <c r="A47"/>
      <c r="B47"/>
      <c r="C47"/>
      <c r="D47"/>
      <c r="E47"/>
      <c r="F47"/>
      <c r="G47"/>
      <c r="H47"/>
      <c r="I47"/>
      <c r="J47"/>
      <c r="K47" s="94"/>
      <c r="L47" s="92"/>
    </row>
    <row r="48" spans="1:12" s="4" customFormat="1" outlineLevel="1">
      <c r="A48"/>
      <c r="B48"/>
      <c r="C48"/>
      <c r="D48"/>
      <c r="E48"/>
      <c r="F48"/>
      <c r="G48"/>
      <c r="H48"/>
      <c r="I48"/>
      <c r="J48"/>
      <c r="K48" s="94"/>
      <c r="L48" s="92"/>
    </row>
    <row r="49" spans="1:12" s="84" customFormat="1" ht="87.75" customHeight="1" outlineLevel="1">
      <c r="A49"/>
      <c r="B49"/>
      <c r="C49"/>
      <c r="D49"/>
      <c r="E49"/>
      <c r="F49"/>
      <c r="G49"/>
      <c r="H49"/>
      <c r="I49"/>
      <c r="J49"/>
      <c r="K49" s="94"/>
      <c r="L49" s="92"/>
    </row>
    <row r="50" spans="1:12" s="84" customFormat="1" ht="87.75" customHeight="1" outlineLevel="1">
      <c r="A50"/>
      <c r="B50"/>
      <c r="C50"/>
      <c r="D50"/>
      <c r="E50"/>
      <c r="F50"/>
      <c r="G50"/>
      <c r="H50"/>
      <c r="I50"/>
      <c r="J50"/>
      <c r="K50" s="94"/>
      <c r="L50" s="92"/>
    </row>
    <row r="51" spans="1:12" s="4" customFormat="1" outlineLevel="1">
      <c r="A51"/>
      <c r="B51"/>
      <c r="C51"/>
      <c r="D51"/>
      <c r="E51"/>
      <c r="F51"/>
      <c r="G51"/>
      <c r="H51"/>
      <c r="I51"/>
      <c r="J51"/>
      <c r="K51" s="94"/>
      <c r="L51" s="92"/>
    </row>
    <row r="52" spans="1:12" s="84" customFormat="1" ht="87.75" customHeight="1" outlineLevel="1">
      <c r="A52"/>
      <c r="B52"/>
      <c r="C52"/>
      <c r="D52"/>
      <c r="E52"/>
      <c r="F52"/>
      <c r="G52"/>
      <c r="H52"/>
      <c r="I52"/>
      <c r="J52"/>
      <c r="K52" s="94"/>
      <c r="L52" s="92"/>
    </row>
    <row r="53" spans="1:12" s="84" customFormat="1" ht="87.75" customHeight="1" outlineLevel="1">
      <c r="A53"/>
      <c r="B53"/>
      <c r="C53"/>
      <c r="D53"/>
      <c r="E53"/>
      <c r="F53"/>
      <c r="G53"/>
      <c r="H53"/>
      <c r="I53"/>
      <c r="J53"/>
      <c r="K53" s="94"/>
      <c r="L53" s="92"/>
    </row>
    <row r="54" spans="1:12" s="4" customFormat="1">
      <c r="A54"/>
      <c r="B54"/>
      <c r="C54"/>
      <c r="D54"/>
      <c r="E54"/>
      <c r="F54"/>
      <c r="G54"/>
      <c r="H54"/>
      <c r="I54"/>
      <c r="J54"/>
      <c r="K54" s="94"/>
      <c r="L54" s="92"/>
    </row>
    <row r="55" spans="1:12" s="84" customFormat="1" ht="87.75" customHeight="1" outlineLevel="1">
      <c r="A55"/>
      <c r="B55"/>
      <c r="C55"/>
      <c r="D55"/>
      <c r="E55"/>
      <c r="F55"/>
      <c r="G55"/>
      <c r="H55"/>
      <c r="I55"/>
      <c r="J55"/>
      <c r="K55" s="94"/>
      <c r="L55" s="92"/>
    </row>
    <row r="56" spans="1:12" s="84" customFormat="1" ht="87.75" customHeight="1" outlineLevel="1">
      <c r="A56"/>
      <c r="B56"/>
      <c r="C56"/>
      <c r="D56"/>
      <c r="E56"/>
      <c r="F56"/>
      <c r="G56"/>
      <c r="H56"/>
      <c r="I56"/>
      <c r="J56"/>
      <c r="K56" s="94"/>
      <c r="L56" s="92"/>
    </row>
    <row r="57" spans="1:12" ht="12" customHeight="1"/>
    <row r="58" spans="1:12" ht="12" customHeight="1"/>
    <row r="59" spans="1:12" ht="12" customHeight="1"/>
    <row r="60" spans="1:12" ht="12" customHeight="1"/>
    <row r="61" spans="1:12" ht="12" customHeight="1"/>
    <row r="62" spans="1:12" ht="12" customHeight="1"/>
    <row r="63" spans="1:12" ht="12" customHeight="1"/>
    <row r="64" spans="1:12"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sheetData>
  <mergeCells count="22">
    <mergeCell ref="K9:K10"/>
    <mergeCell ref="L9:L10"/>
    <mergeCell ref="A11:L11"/>
    <mergeCell ref="A12:L12"/>
    <mergeCell ref="D13:F13"/>
    <mergeCell ref="J6:L6"/>
    <mergeCell ref="J7:L7"/>
    <mergeCell ref="A8:D8"/>
    <mergeCell ref="A9:A10"/>
    <mergeCell ref="B9:B10"/>
    <mergeCell ref="C9:C10"/>
    <mergeCell ref="D9:G10"/>
    <mergeCell ref="H9:H10"/>
    <mergeCell ref="I9:I10"/>
    <mergeCell ref="J9:J10"/>
    <mergeCell ref="B1:D2"/>
    <mergeCell ref="B3:D3"/>
    <mergeCell ref="J3:L3"/>
    <mergeCell ref="B4:D4"/>
    <mergeCell ref="J4:L4"/>
    <mergeCell ref="B5:D5"/>
    <mergeCell ref="J5:L5"/>
  </mergeCells>
  <pageMargins left="0.75" right="0.75" top="1" bottom="1" header="0.5" footer="0.5"/>
  <pageSetup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846A2-3641-4B5C-B98F-DF78259DF6BF}">
  <sheetPr>
    <outlinePr summaryBelow="0" summaryRight="0"/>
  </sheetPr>
  <dimension ref="A1:P94"/>
  <sheetViews>
    <sheetView topLeftCell="A7" zoomScale="130" zoomScaleNormal="130" workbookViewId="0">
      <selection activeCell="A8" sqref="A8:D8"/>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25.5546875" customWidth="1"/>
    <col min="9" max="9" width="24.77734375" customWidth="1"/>
    <col min="10" max="10" width="17.21875" customWidth="1"/>
    <col min="11" max="11" width="8.88671875" style="94"/>
    <col min="12" max="12" width="38.44140625" style="92" customWidth="1"/>
  </cols>
  <sheetData>
    <row r="1" spans="1:13" s="2" customFormat="1" ht="12.75" customHeight="1">
      <c r="A1" s="58" t="s">
        <v>22</v>
      </c>
      <c r="B1" s="145"/>
      <c r="C1" s="145"/>
      <c r="D1" s="145"/>
      <c r="E1" s="6"/>
      <c r="F1" s="6"/>
      <c r="G1" s="6"/>
      <c r="H1" s="6"/>
      <c r="I1" s="6"/>
      <c r="J1" s="6"/>
      <c r="K1" s="108"/>
      <c r="L1" s="6"/>
      <c r="M1" s="7"/>
    </row>
    <row r="2" spans="1:13" s="2" customFormat="1" ht="11.25" customHeight="1" thickBot="1">
      <c r="A2" s="7"/>
      <c r="B2" s="146"/>
      <c r="C2" s="146"/>
      <c r="D2" s="146"/>
      <c r="E2" s="6"/>
      <c r="F2" s="6"/>
      <c r="G2" s="6"/>
      <c r="H2" s="6"/>
      <c r="I2" s="6"/>
      <c r="J2" s="6"/>
      <c r="K2" s="108"/>
      <c r="L2" s="6"/>
      <c r="M2" s="7"/>
    </row>
    <row r="3" spans="1:13" s="3" customFormat="1" ht="15" customHeight="1">
      <c r="A3" s="59" t="s">
        <v>54</v>
      </c>
      <c r="B3" s="121" t="s">
        <v>289</v>
      </c>
      <c r="C3" s="121"/>
      <c r="D3" s="122"/>
      <c r="E3" s="62"/>
      <c r="F3" s="62"/>
      <c r="G3" s="62"/>
      <c r="H3" s="62"/>
      <c r="I3" s="62"/>
      <c r="J3" s="133"/>
      <c r="K3" s="133"/>
      <c r="L3" s="133"/>
      <c r="M3" s="9"/>
    </row>
    <row r="4" spans="1:13" s="3" customFormat="1" ht="13.2">
      <c r="A4" s="64" t="s">
        <v>55</v>
      </c>
      <c r="B4" s="147" t="s">
        <v>332</v>
      </c>
      <c r="C4" s="148"/>
      <c r="D4" s="149"/>
      <c r="E4" s="62"/>
      <c r="F4" s="62"/>
      <c r="G4" s="62"/>
      <c r="H4" s="62"/>
      <c r="I4" s="62"/>
      <c r="J4" s="133"/>
      <c r="K4" s="133"/>
      <c r="L4" s="133"/>
      <c r="M4" s="9"/>
    </row>
    <row r="5" spans="1:13" s="72" customFormat="1" ht="26.4">
      <c r="A5" s="64" t="s">
        <v>48</v>
      </c>
      <c r="B5" s="150" t="s">
        <v>335</v>
      </c>
      <c r="C5" s="151"/>
      <c r="D5" s="152"/>
      <c r="E5" s="70"/>
      <c r="F5" s="70"/>
      <c r="G5" s="70"/>
      <c r="H5" s="70"/>
      <c r="I5" s="70"/>
      <c r="J5" s="153"/>
      <c r="K5" s="153"/>
      <c r="L5" s="153"/>
      <c r="M5" s="71"/>
    </row>
    <row r="6" spans="1:13" s="3" customFormat="1" ht="15" customHeight="1">
      <c r="A6" s="12" t="s">
        <v>56</v>
      </c>
      <c r="B6" s="86">
        <f>COUNTIF(K12:K14,"Pass")</f>
        <v>2</v>
      </c>
      <c r="C6" s="10" t="s">
        <v>57</v>
      </c>
      <c r="D6" s="13">
        <f>COUNTIF(K10:K730,"Pending")</f>
        <v>0</v>
      </c>
      <c r="E6" s="115"/>
      <c r="F6" s="115"/>
      <c r="G6" s="115"/>
      <c r="H6" s="115"/>
      <c r="I6" s="115"/>
      <c r="J6" s="133"/>
      <c r="K6" s="133"/>
      <c r="L6" s="133"/>
      <c r="M6" s="9"/>
    </row>
    <row r="7" spans="1:13" s="3" customFormat="1" ht="15" customHeight="1" thickBot="1">
      <c r="A7" s="14" t="s">
        <v>20</v>
      </c>
      <c r="B7" s="87">
        <f>COUNTIF(K12:K14,"Fail")</f>
        <v>0</v>
      </c>
      <c r="C7" s="29" t="s">
        <v>46</v>
      </c>
      <c r="D7" s="60">
        <f>COUNTA(A13:A14)</f>
        <v>2</v>
      </c>
      <c r="E7" s="63"/>
      <c r="F7" s="63"/>
      <c r="G7" s="63"/>
      <c r="H7" s="63"/>
      <c r="I7" s="63"/>
      <c r="J7" s="133"/>
      <c r="K7" s="133"/>
      <c r="L7" s="133"/>
      <c r="M7" s="9"/>
    </row>
    <row r="8" spans="1:13" s="3" customFormat="1" ht="15" customHeight="1">
      <c r="A8" s="134"/>
      <c r="B8" s="134"/>
      <c r="C8" s="134"/>
      <c r="D8" s="134"/>
      <c r="E8" s="115"/>
      <c r="F8" s="115"/>
      <c r="G8" s="115"/>
      <c r="H8" s="115"/>
      <c r="I8" s="115"/>
      <c r="J8" s="115"/>
      <c r="K8" s="109"/>
      <c r="L8" s="109"/>
      <c r="M8" s="9"/>
    </row>
    <row r="9" spans="1:13" s="74" customFormat="1" ht="12" customHeight="1">
      <c r="A9" s="124" t="s">
        <v>49</v>
      </c>
      <c r="B9" s="136" t="s">
        <v>23</v>
      </c>
      <c r="C9" s="124" t="s">
        <v>34</v>
      </c>
      <c r="D9" s="138" t="s">
        <v>47</v>
      </c>
      <c r="E9" s="139"/>
      <c r="F9" s="139"/>
      <c r="G9" s="140"/>
      <c r="H9" s="123" t="s">
        <v>211</v>
      </c>
      <c r="I9" s="123" t="s">
        <v>193</v>
      </c>
      <c r="J9" s="144" t="s">
        <v>45</v>
      </c>
      <c r="K9" s="135" t="s">
        <v>24</v>
      </c>
      <c r="L9" s="135" t="s">
        <v>50</v>
      </c>
      <c r="M9" s="73"/>
    </row>
    <row r="10" spans="1:13" s="3" customFormat="1" ht="12" customHeight="1">
      <c r="A10" s="135"/>
      <c r="B10" s="137"/>
      <c r="C10" s="135"/>
      <c r="D10" s="141"/>
      <c r="E10" s="142"/>
      <c r="F10" s="142"/>
      <c r="G10" s="143"/>
      <c r="H10" s="124"/>
      <c r="I10" s="124"/>
      <c r="J10" s="141"/>
      <c r="K10" s="135"/>
      <c r="L10" s="135"/>
      <c r="M10" s="9"/>
    </row>
    <row r="11" spans="1:13" s="75" customFormat="1" ht="15">
      <c r="A11" s="127"/>
      <c r="B11" s="127"/>
      <c r="C11" s="127"/>
      <c r="D11" s="127"/>
      <c r="E11" s="127"/>
      <c r="F11" s="127"/>
      <c r="G11" s="127"/>
      <c r="H11" s="127"/>
      <c r="I11" s="127"/>
      <c r="J11" s="127"/>
      <c r="K11" s="127"/>
      <c r="L11" s="128"/>
    </row>
    <row r="12" spans="1:13" s="4" customFormat="1" ht="13.2">
      <c r="A12" s="129" t="s">
        <v>343</v>
      </c>
      <c r="B12" s="130"/>
      <c r="C12" s="130"/>
      <c r="D12" s="130"/>
      <c r="E12" s="130"/>
      <c r="F12" s="130"/>
      <c r="G12" s="130"/>
      <c r="H12" s="130"/>
      <c r="I12" s="130"/>
      <c r="J12" s="130"/>
      <c r="K12" s="130"/>
      <c r="L12" s="131"/>
    </row>
    <row r="13" spans="1:13" s="4" customFormat="1" ht="79.2" customHeight="1" outlineLevel="1">
      <c r="A13" s="79" t="s">
        <v>333</v>
      </c>
      <c r="B13" s="95" t="s">
        <v>334</v>
      </c>
      <c r="C13" s="96" t="s">
        <v>342</v>
      </c>
      <c r="D13" s="125" t="s">
        <v>336</v>
      </c>
      <c r="E13" s="156"/>
      <c r="F13" s="156"/>
      <c r="G13" s="77"/>
      <c r="H13" s="114" t="s">
        <v>337</v>
      </c>
      <c r="I13" s="78" t="s">
        <v>288</v>
      </c>
      <c r="J13" s="118" t="s">
        <v>331</v>
      </c>
      <c r="K13" s="78" t="s">
        <v>56</v>
      </c>
      <c r="L13" s="76"/>
    </row>
    <row r="14" spans="1:13" s="4" customFormat="1" ht="93.6" customHeight="1" outlineLevel="1">
      <c r="A14" s="79" t="s">
        <v>338</v>
      </c>
      <c r="B14" s="95" t="s">
        <v>339</v>
      </c>
      <c r="C14" s="96" t="s">
        <v>340</v>
      </c>
      <c r="D14" s="125" t="s">
        <v>341</v>
      </c>
      <c r="E14" s="156"/>
      <c r="F14" s="156"/>
      <c r="G14" s="77"/>
      <c r="H14" s="114" t="s">
        <v>341</v>
      </c>
      <c r="I14" s="78" t="s">
        <v>288</v>
      </c>
      <c r="J14" s="118" t="s">
        <v>331</v>
      </c>
      <c r="K14" s="78" t="s">
        <v>56</v>
      </c>
      <c r="L14" s="76"/>
    </row>
    <row r="15" spans="1:13" s="4" customFormat="1" outlineLevel="1">
      <c r="A15"/>
      <c r="B15"/>
      <c r="C15"/>
      <c r="D15"/>
      <c r="E15"/>
      <c r="F15"/>
      <c r="G15"/>
      <c r="H15"/>
      <c r="I15"/>
      <c r="J15"/>
      <c r="K15" s="94"/>
      <c r="L15" s="92"/>
    </row>
    <row r="16" spans="1:13" s="4" customFormat="1" outlineLevel="1">
      <c r="A16"/>
      <c r="B16"/>
      <c r="C16"/>
      <c r="D16"/>
      <c r="E16"/>
      <c r="F16"/>
      <c r="G16"/>
      <c r="H16"/>
      <c r="I16"/>
      <c r="J16"/>
      <c r="K16" s="94"/>
      <c r="L16" s="92"/>
    </row>
    <row r="17" spans="1:16" s="4" customFormat="1">
      <c r="A17"/>
      <c r="B17"/>
      <c r="C17"/>
      <c r="D17"/>
      <c r="E17"/>
      <c r="F17"/>
      <c r="G17"/>
      <c r="H17"/>
      <c r="I17"/>
      <c r="J17"/>
      <c r="K17" s="94"/>
      <c r="L17" s="92"/>
    </row>
    <row r="18" spans="1:16" s="84" customFormat="1" ht="228.75" customHeight="1" outlineLevel="1">
      <c r="A18"/>
      <c r="B18"/>
      <c r="C18"/>
      <c r="D18"/>
      <c r="E18"/>
      <c r="F18"/>
      <c r="G18"/>
      <c r="H18"/>
      <c r="I18"/>
      <c r="J18"/>
      <c r="K18" s="94"/>
      <c r="L18" s="92"/>
    </row>
    <row r="19" spans="1:16" s="84" customFormat="1" ht="207.75" customHeight="1" outlineLevel="1">
      <c r="A19"/>
      <c r="B19"/>
      <c r="C19"/>
      <c r="D19"/>
      <c r="E19"/>
      <c r="F19"/>
      <c r="G19"/>
      <c r="H19"/>
      <c r="I19"/>
      <c r="J19"/>
      <c r="K19" s="94"/>
      <c r="L19" s="92"/>
    </row>
    <row r="20" spans="1:16" s="84" customFormat="1" ht="255" customHeight="1" outlineLevel="1">
      <c r="A20"/>
      <c r="B20"/>
      <c r="C20"/>
      <c r="D20"/>
      <c r="E20"/>
      <c r="F20"/>
      <c r="G20"/>
      <c r="H20"/>
      <c r="I20"/>
      <c r="J20"/>
      <c r="K20" s="94"/>
      <c r="L20" s="92"/>
      <c r="M20" s="99"/>
      <c r="N20" s="99"/>
      <c r="O20" s="99"/>
      <c r="P20" s="99"/>
    </row>
    <row r="21" spans="1:16" s="84" customFormat="1" ht="276.75" customHeight="1" outlineLevel="1">
      <c r="A21"/>
      <c r="B21"/>
      <c r="C21"/>
      <c r="D21"/>
      <c r="E21"/>
      <c r="F21"/>
      <c r="G21"/>
      <c r="H21"/>
      <c r="I21"/>
      <c r="J21"/>
      <c r="K21" s="94"/>
      <c r="L21" s="92"/>
    </row>
    <row r="22" spans="1:16" s="4" customFormat="1" collapsed="1">
      <c r="A22"/>
      <c r="B22"/>
      <c r="C22"/>
      <c r="D22"/>
      <c r="E22"/>
      <c r="F22"/>
      <c r="G22"/>
      <c r="H22"/>
      <c r="I22"/>
      <c r="J22"/>
      <c r="K22" s="94"/>
      <c r="L22" s="92"/>
    </row>
    <row r="23" spans="1:16" s="4" customFormat="1" hidden="1" outlineLevel="1">
      <c r="A23"/>
      <c r="B23"/>
      <c r="C23"/>
      <c r="D23"/>
      <c r="E23"/>
      <c r="F23"/>
      <c r="G23"/>
      <c r="H23"/>
      <c r="I23"/>
      <c r="J23"/>
      <c r="K23" s="94"/>
      <c r="L23" s="92"/>
    </row>
    <row r="24" spans="1:16" s="84" customFormat="1" ht="70.5" hidden="1" customHeight="1" outlineLevel="1">
      <c r="A24"/>
      <c r="B24"/>
      <c r="C24"/>
      <c r="D24"/>
      <c r="E24"/>
      <c r="F24"/>
      <c r="G24"/>
      <c r="H24"/>
      <c r="I24"/>
      <c r="J24"/>
      <c r="K24" s="94"/>
      <c r="L24" s="92"/>
    </row>
    <row r="25" spans="1:16" s="84" customFormat="1" ht="87.75" hidden="1" customHeight="1" outlineLevel="1">
      <c r="A25"/>
      <c r="B25"/>
      <c r="C25"/>
      <c r="D25"/>
      <c r="E25"/>
      <c r="F25"/>
      <c r="G25"/>
      <c r="H25"/>
      <c r="I25"/>
      <c r="J25"/>
      <c r="K25" s="94"/>
      <c r="L25" s="92"/>
    </row>
    <row r="26" spans="1:16" s="84" customFormat="1" ht="87.75" hidden="1" customHeight="1" outlineLevel="1">
      <c r="A26"/>
      <c r="B26"/>
      <c r="C26"/>
      <c r="D26"/>
      <c r="E26"/>
      <c r="F26"/>
      <c r="G26"/>
      <c r="H26"/>
      <c r="I26"/>
      <c r="J26"/>
      <c r="K26" s="94"/>
      <c r="L26" s="92"/>
    </row>
    <row r="27" spans="1:16" s="84" customFormat="1" ht="59.25" hidden="1" customHeight="1" outlineLevel="1">
      <c r="A27"/>
      <c r="B27"/>
      <c r="C27"/>
      <c r="D27"/>
      <c r="E27"/>
      <c r="F27"/>
      <c r="G27"/>
      <c r="H27"/>
      <c r="I27"/>
      <c r="J27"/>
      <c r="K27" s="94"/>
      <c r="L27" s="92"/>
    </row>
    <row r="28" spans="1:16" s="84" customFormat="1" ht="56.25" hidden="1" customHeight="1" outlineLevel="1">
      <c r="A28"/>
      <c r="B28"/>
      <c r="C28"/>
      <c r="D28"/>
      <c r="E28"/>
      <c r="F28"/>
      <c r="G28"/>
      <c r="H28"/>
      <c r="I28"/>
      <c r="J28"/>
      <c r="K28" s="94"/>
      <c r="L28" s="92"/>
    </row>
    <row r="29" spans="1:16" s="84" customFormat="1" ht="87.75" hidden="1" customHeight="1" outlineLevel="1">
      <c r="A29"/>
      <c r="B29"/>
      <c r="C29"/>
      <c r="D29"/>
      <c r="E29"/>
      <c r="F29"/>
      <c r="G29"/>
      <c r="H29"/>
      <c r="I29"/>
      <c r="J29"/>
      <c r="K29" s="94"/>
      <c r="L29" s="92"/>
    </row>
    <row r="30" spans="1:16" s="84" customFormat="1" ht="62.25" hidden="1" customHeight="1" outlineLevel="1">
      <c r="A30"/>
      <c r="B30"/>
      <c r="C30"/>
      <c r="D30"/>
      <c r="E30"/>
      <c r="F30"/>
      <c r="G30"/>
      <c r="H30"/>
      <c r="I30"/>
      <c r="J30"/>
      <c r="K30" s="94"/>
      <c r="L30" s="92"/>
    </row>
    <row r="31" spans="1:16" s="4" customFormat="1" hidden="1" outlineLevel="1">
      <c r="A31"/>
      <c r="B31"/>
      <c r="C31"/>
      <c r="D31"/>
      <c r="E31"/>
      <c r="F31"/>
      <c r="G31"/>
      <c r="H31"/>
      <c r="I31"/>
      <c r="J31"/>
      <c r="K31" s="94"/>
      <c r="L31" s="92"/>
    </row>
    <row r="32" spans="1:16" s="84" customFormat="1" ht="87.75" hidden="1" customHeight="1" outlineLevel="1">
      <c r="A32"/>
      <c r="B32"/>
      <c r="C32"/>
      <c r="D32"/>
      <c r="E32"/>
      <c r="F32"/>
      <c r="G32"/>
      <c r="H32"/>
      <c r="I32"/>
      <c r="J32"/>
      <c r="K32" s="94"/>
      <c r="L32" s="92"/>
    </row>
    <row r="33" spans="1:12" s="4" customFormat="1" collapsed="1">
      <c r="A33"/>
      <c r="B33"/>
      <c r="C33"/>
      <c r="D33"/>
      <c r="E33"/>
      <c r="F33"/>
      <c r="G33"/>
      <c r="H33"/>
      <c r="I33"/>
      <c r="J33"/>
      <c r="K33" s="94"/>
      <c r="L33" s="92"/>
    </row>
    <row r="34" spans="1:12" s="84" customFormat="1" ht="101.25" hidden="1" customHeight="1" outlineLevel="1">
      <c r="A34"/>
      <c r="B34"/>
      <c r="C34"/>
      <c r="D34"/>
      <c r="E34"/>
      <c r="F34"/>
      <c r="G34"/>
      <c r="H34"/>
      <c r="I34"/>
      <c r="J34"/>
      <c r="K34" s="94"/>
      <c r="L34" s="92"/>
    </row>
    <row r="35" spans="1:12" s="84" customFormat="1" ht="96" hidden="1" customHeight="1" outlineLevel="1">
      <c r="A35"/>
      <c r="B35"/>
      <c r="C35"/>
      <c r="D35"/>
      <c r="E35"/>
      <c r="F35"/>
      <c r="G35"/>
      <c r="H35"/>
      <c r="I35"/>
      <c r="J35"/>
      <c r="K35" s="94"/>
      <c r="L35" s="92"/>
    </row>
    <row r="36" spans="1:12" s="84" customFormat="1" ht="96" hidden="1" customHeight="1" outlineLevel="1">
      <c r="A36"/>
      <c r="B36"/>
      <c r="C36"/>
      <c r="D36"/>
      <c r="E36"/>
      <c r="F36"/>
      <c r="G36"/>
      <c r="H36"/>
      <c r="I36"/>
      <c r="J36"/>
      <c r="K36" s="94"/>
      <c r="L36" s="92"/>
    </row>
    <row r="37" spans="1:12" s="4" customFormat="1" collapsed="1">
      <c r="A37"/>
      <c r="B37"/>
      <c r="C37"/>
      <c r="D37"/>
      <c r="E37"/>
      <c r="F37"/>
      <c r="G37"/>
      <c r="H37"/>
      <c r="I37"/>
      <c r="J37"/>
      <c r="K37" s="94"/>
      <c r="L37" s="92"/>
    </row>
    <row r="38" spans="1:12" s="84" customFormat="1" ht="27.75" hidden="1" customHeight="1" outlineLevel="1">
      <c r="A38"/>
      <c r="B38"/>
      <c r="C38"/>
      <c r="D38"/>
      <c r="E38"/>
      <c r="F38"/>
      <c r="G38"/>
      <c r="H38"/>
      <c r="I38"/>
      <c r="J38"/>
      <c r="K38" s="94"/>
      <c r="L38" s="92"/>
    </row>
    <row r="39" spans="1:12" s="84" customFormat="1" ht="27.75" hidden="1" customHeight="1" outlineLevel="1">
      <c r="A39"/>
      <c r="B39"/>
      <c r="C39"/>
      <c r="D39"/>
      <c r="E39"/>
      <c r="F39"/>
      <c r="G39"/>
      <c r="H39"/>
      <c r="I39"/>
      <c r="J39"/>
      <c r="K39" s="94"/>
      <c r="L39" s="92"/>
    </row>
    <row r="40" spans="1:12" s="84" customFormat="1" ht="81" hidden="1" customHeight="1" outlineLevel="1">
      <c r="A40"/>
      <c r="B40"/>
      <c r="C40"/>
      <c r="D40"/>
      <c r="E40"/>
      <c r="F40"/>
      <c r="G40"/>
      <c r="H40"/>
      <c r="I40"/>
      <c r="J40"/>
      <c r="K40" s="94"/>
      <c r="L40" s="92"/>
    </row>
    <row r="41" spans="1:12" s="4" customFormat="1">
      <c r="A41"/>
      <c r="B41"/>
      <c r="C41"/>
      <c r="D41"/>
      <c r="E41"/>
      <c r="F41"/>
      <c r="G41"/>
      <c r="H41"/>
      <c r="I41"/>
      <c r="J41"/>
      <c r="K41" s="94"/>
      <c r="L41" s="92"/>
    </row>
    <row r="42" spans="1:12" s="4" customFormat="1" outlineLevel="1">
      <c r="A42"/>
      <c r="B42"/>
      <c r="C42"/>
      <c r="D42"/>
      <c r="E42"/>
      <c r="F42"/>
      <c r="G42"/>
      <c r="H42"/>
      <c r="I42"/>
      <c r="J42"/>
      <c r="K42" s="94"/>
      <c r="L42" s="92"/>
    </row>
    <row r="43" spans="1:12" s="84" customFormat="1" ht="87.75" customHeight="1" outlineLevel="1">
      <c r="A43"/>
      <c r="B43"/>
      <c r="C43"/>
      <c r="D43"/>
      <c r="E43"/>
      <c r="F43"/>
      <c r="G43"/>
      <c r="H43"/>
      <c r="I43"/>
      <c r="J43"/>
      <c r="K43" s="94"/>
      <c r="L43" s="92"/>
    </row>
    <row r="44" spans="1:12" s="84" customFormat="1" ht="87.75" customHeight="1" outlineLevel="1">
      <c r="A44"/>
      <c r="B44"/>
      <c r="C44"/>
      <c r="D44"/>
      <c r="E44"/>
      <c r="F44"/>
      <c r="G44"/>
      <c r="H44"/>
      <c r="I44"/>
      <c r="J44"/>
      <c r="K44" s="94"/>
      <c r="L44" s="92"/>
    </row>
    <row r="45" spans="1:12" s="4" customFormat="1" outlineLevel="1">
      <c r="A45"/>
      <c r="B45"/>
      <c r="C45"/>
      <c r="D45"/>
      <c r="E45"/>
      <c r="F45"/>
      <c r="G45"/>
      <c r="H45"/>
      <c r="I45"/>
      <c r="J45"/>
      <c r="K45" s="94"/>
      <c r="L45" s="92"/>
    </row>
    <row r="46" spans="1:12" s="84" customFormat="1" ht="87.75" customHeight="1" outlineLevel="1">
      <c r="A46"/>
      <c r="B46"/>
      <c r="C46"/>
      <c r="D46"/>
      <c r="E46"/>
      <c r="F46"/>
      <c r="G46"/>
      <c r="H46"/>
      <c r="I46"/>
      <c r="J46"/>
      <c r="K46" s="94"/>
      <c r="L46" s="92"/>
    </row>
    <row r="47" spans="1:12" s="84" customFormat="1" ht="87.75" customHeight="1" outlineLevel="1">
      <c r="A47"/>
      <c r="B47"/>
      <c r="C47"/>
      <c r="D47"/>
      <c r="E47"/>
      <c r="F47"/>
      <c r="G47"/>
      <c r="H47"/>
      <c r="I47"/>
      <c r="J47"/>
      <c r="K47" s="94"/>
      <c r="L47" s="92"/>
    </row>
    <row r="48" spans="1:12" s="4" customFormat="1" outlineLevel="1">
      <c r="A48"/>
      <c r="B48"/>
      <c r="C48"/>
      <c r="D48"/>
      <c r="E48"/>
      <c r="F48"/>
      <c r="G48"/>
      <c r="H48"/>
      <c r="I48"/>
      <c r="J48"/>
      <c r="K48" s="94"/>
      <c r="L48" s="92"/>
    </row>
    <row r="49" spans="1:12" s="84" customFormat="1" ht="87.75" customHeight="1" outlineLevel="1">
      <c r="A49"/>
      <c r="B49"/>
      <c r="C49"/>
      <c r="D49"/>
      <c r="E49"/>
      <c r="F49"/>
      <c r="G49"/>
      <c r="H49"/>
      <c r="I49"/>
      <c r="J49"/>
      <c r="K49" s="94"/>
      <c r="L49" s="92"/>
    </row>
    <row r="50" spans="1:12" s="84" customFormat="1" ht="87.75" customHeight="1" outlineLevel="1">
      <c r="A50"/>
      <c r="B50"/>
      <c r="C50"/>
      <c r="D50"/>
      <c r="E50"/>
      <c r="F50"/>
      <c r="G50"/>
      <c r="H50"/>
      <c r="I50"/>
      <c r="J50"/>
      <c r="K50" s="94"/>
      <c r="L50" s="92"/>
    </row>
    <row r="51" spans="1:12" s="4" customFormat="1" outlineLevel="1">
      <c r="A51"/>
      <c r="B51"/>
      <c r="C51"/>
      <c r="D51"/>
      <c r="E51"/>
      <c r="F51"/>
      <c r="G51"/>
      <c r="H51"/>
      <c r="I51"/>
      <c r="J51"/>
      <c r="K51" s="94"/>
      <c r="L51" s="92"/>
    </row>
    <row r="52" spans="1:12" s="84" customFormat="1" ht="87.75" customHeight="1" outlineLevel="1">
      <c r="A52"/>
      <c r="B52"/>
      <c r="C52"/>
      <c r="D52"/>
      <c r="E52"/>
      <c r="F52"/>
      <c r="G52"/>
      <c r="H52"/>
      <c r="I52"/>
      <c r="J52"/>
      <c r="K52" s="94"/>
      <c r="L52" s="92"/>
    </row>
    <row r="53" spans="1:12" s="84" customFormat="1" ht="87.75" customHeight="1" outlineLevel="1">
      <c r="A53"/>
      <c r="B53"/>
      <c r="C53"/>
      <c r="D53"/>
      <c r="E53"/>
      <c r="F53"/>
      <c r="G53"/>
      <c r="H53"/>
      <c r="I53"/>
      <c r="J53"/>
      <c r="K53" s="94"/>
      <c r="L53" s="92"/>
    </row>
    <row r="54" spans="1:12" s="4" customFormat="1">
      <c r="A54"/>
      <c r="B54"/>
      <c r="C54"/>
      <c r="D54"/>
      <c r="E54"/>
      <c r="F54"/>
      <c r="G54"/>
      <c r="H54"/>
      <c r="I54"/>
      <c r="J54"/>
      <c r="K54" s="94"/>
      <c r="L54" s="92"/>
    </row>
    <row r="55" spans="1:12" s="84" customFormat="1" ht="87.75" customHeight="1" outlineLevel="1">
      <c r="A55"/>
      <c r="B55"/>
      <c r="C55"/>
      <c r="D55"/>
      <c r="E55"/>
      <c r="F55"/>
      <c r="G55"/>
      <c r="H55"/>
      <c r="I55"/>
      <c r="J55"/>
      <c r="K55" s="94"/>
      <c r="L55" s="92"/>
    </row>
    <row r="56" spans="1:12" s="84" customFormat="1" ht="87.75" customHeight="1" outlineLevel="1">
      <c r="A56"/>
      <c r="B56"/>
      <c r="C56"/>
      <c r="D56"/>
      <c r="E56"/>
      <c r="F56"/>
      <c r="G56"/>
      <c r="H56"/>
      <c r="I56"/>
      <c r="J56"/>
      <c r="K56" s="94"/>
      <c r="L56" s="92"/>
    </row>
    <row r="57" spans="1:12" ht="12" customHeight="1"/>
    <row r="58" spans="1:12" ht="12" customHeight="1"/>
    <row r="59" spans="1:12" ht="12" customHeight="1"/>
    <row r="60" spans="1:12" ht="12" customHeight="1"/>
    <row r="61" spans="1:12" ht="12" customHeight="1"/>
    <row r="62" spans="1:12" ht="12" customHeight="1"/>
    <row r="63" spans="1:12" ht="12" customHeight="1"/>
    <row r="64" spans="1:12"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sheetData>
  <mergeCells count="23">
    <mergeCell ref="K9:K10"/>
    <mergeCell ref="L9:L10"/>
    <mergeCell ref="A11:L11"/>
    <mergeCell ref="A12:L12"/>
    <mergeCell ref="D13:F13"/>
    <mergeCell ref="D14:F14"/>
    <mergeCell ref="J6:L6"/>
    <mergeCell ref="J7:L7"/>
    <mergeCell ref="A8:D8"/>
    <mergeCell ref="A9:A10"/>
    <mergeCell ref="B9:B10"/>
    <mergeCell ref="C9:C10"/>
    <mergeCell ref="D9:G10"/>
    <mergeCell ref="H9:H10"/>
    <mergeCell ref="I9:I10"/>
    <mergeCell ref="J9:J10"/>
    <mergeCell ref="B1:D2"/>
    <mergeCell ref="B3:D3"/>
    <mergeCell ref="J3:L3"/>
    <mergeCell ref="B4:D4"/>
    <mergeCell ref="J4:L4"/>
    <mergeCell ref="B5:D5"/>
    <mergeCell ref="J5:L5"/>
  </mergeCells>
  <pageMargins left="0.75" right="0.75" top="1" bottom="1" header="0.5" footer="0.5"/>
  <pageSetup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1"/>
  <sheetViews>
    <sheetView zoomScale="130" zoomScaleNormal="130" workbookViewId="0">
      <selection activeCell="B4" sqref="B4:D4"/>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17.21875" customWidth="1"/>
    <col min="9" max="9" width="9" style="94"/>
    <col min="10" max="10" width="18" style="92" customWidth="1"/>
  </cols>
  <sheetData>
    <row r="1" spans="1:11" s="2" customFormat="1" ht="12.75" customHeight="1">
      <c r="A1" s="58" t="s">
        <v>22</v>
      </c>
      <c r="B1" s="145"/>
      <c r="C1" s="145"/>
      <c r="D1" s="145"/>
      <c r="E1" s="6"/>
      <c r="F1" s="6"/>
      <c r="G1" s="6"/>
      <c r="H1" s="6"/>
      <c r="I1" s="108"/>
      <c r="J1" s="6"/>
      <c r="K1" s="7"/>
    </row>
    <row r="2" spans="1:11" s="2" customFormat="1" ht="11.25" customHeight="1" thickBot="1">
      <c r="A2" s="7"/>
      <c r="B2" s="146"/>
      <c r="C2" s="146"/>
      <c r="D2" s="146"/>
      <c r="E2" s="6"/>
      <c r="F2" s="6"/>
      <c r="G2" s="6"/>
      <c r="H2" s="6"/>
      <c r="I2" s="108"/>
      <c r="J2" s="6"/>
      <c r="K2" s="7"/>
    </row>
    <row r="3" spans="1:11" s="3" customFormat="1" ht="15" customHeight="1">
      <c r="A3" s="59" t="s">
        <v>54</v>
      </c>
      <c r="B3" s="121"/>
      <c r="C3" s="121"/>
      <c r="D3" s="122"/>
      <c r="E3" s="62"/>
      <c r="F3" s="62"/>
      <c r="G3" s="62"/>
      <c r="H3" s="133"/>
      <c r="I3" s="133"/>
      <c r="J3" s="133"/>
      <c r="K3" s="9"/>
    </row>
    <row r="4" spans="1:11" s="3" customFormat="1" ht="13.2">
      <c r="A4" s="64" t="s">
        <v>55</v>
      </c>
      <c r="B4" s="147" t="s">
        <v>152</v>
      </c>
      <c r="C4" s="148"/>
      <c r="D4" s="149"/>
      <c r="E4" s="62"/>
      <c r="F4" s="62"/>
      <c r="G4" s="62"/>
      <c r="H4" s="133"/>
      <c r="I4" s="133"/>
      <c r="J4" s="133"/>
      <c r="K4" s="9"/>
    </row>
    <row r="5" spans="1:11" s="72" customFormat="1" ht="26.4">
      <c r="A5" s="64" t="s">
        <v>48</v>
      </c>
      <c r="B5" s="150" t="s">
        <v>153</v>
      </c>
      <c r="C5" s="151"/>
      <c r="D5" s="152"/>
      <c r="E5" s="70"/>
      <c r="F5" s="70"/>
      <c r="G5" s="70"/>
      <c r="H5" s="153"/>
      <c r="I5" s="153"/>
      <c r="J5" s="153"/>
      <c r="K5" s="71"/>
    </row>
    <row r="6" spans="1:11" s="3" customFormat="1" ht="15" customHeight="1">
      <c r="A6" s="12" t="s">
        <v>56</v>
      </c>
      <c r="B6" s="86">
        <f>COUNTIF(I12:I60,"Pass")</f>
        <v>25</v>
      </c>
      <c r="C6" s="10" t="s">
        <v>57</v>
      </c>
      <c r="D6" s="13">
        <f>COUNTIF(I10:I782,"Pending")</f>
        <v>0</v>
      </c>
      <c r="E6" s="8"/>
      <c r="F6" s="8"/>
      <c r="G6" s="8"/>
      <c r="H6" s="133"/>
      <c r="I6" s="133"/>
      <c r="J6" s="133"/>
      <c r="K6" s="9"/>
    </row>
    <row r="7" spans="1:11" s="3" customFormat="1" ht="15" customHeight="1" thickBot="1">
      <c r="A7" s="14" t="s">
        <v>20</v>
      </c>
      <c r="B7" s="87">
        <f>COUNTIF(I12:I60,"Fail")</f>
        <v>1</v>
      </c>
      <c r="C7" s="29" t="s">
        <v>46</v>
      </c>
      <c r="D7" s="60">
        <f>COUNTA(A12:A63) -15</f>
        <v>37</v>
      </c>
      <c r="E7" s="63"/>
      <c r="F7" s="63"/>
      <c r="G7" s="63"/>
      <c r="H7" s="133"/>
      <c r="I7" s="133"/>
      <c r="J7" s="133"/>
      <c r="K7" s="9"/>
    </row>
    <row r="8" spans="1:11" s="3" customFormat="1" ht="15" customHeight="1">
      <c r="A8" s="134"/>
      <c r="B8" s="134"/>
      <c r="C8" s="134"/>
      <c r="D8" s="134"/>
      <c r="E8" s="8"/>
      <c r="F8" s="8"/>
      <c r="G8" s="8"/>
      <c r="H8" s="8"/>
      <c r="I8" s="109"/>
      <c r="J8" s="109"/>
      <c r="K8" s="9"/>
    </row>
    <row r="9" spans="1:11" s="74" customFormat="1" ht="12" customHeight="1">
      <c r="A9" s="124" t="s">
        <v>49</v>
      </c>
      <c r="B9" s="136" t="s">
        <v>23</v>
      </c>
      <c r="C9" s="124" t="s">
        <v>34</v>
      </c>
      <c r="D9" s="138" t="s">
        <v>47</v>
      </c>
      <c r="E9" s="139"/>
      <c r="F9" s="139"/>
      <c r="G9" s="140"/>
      <c r="H9" s="144" t="s">
        <v>45</v>
      </c>
      <c r="I9" s="135" t="s">
        <v>24</v>
      </c>
      <c r="J9" s="135" t="s">
        <v>50</v>
      </c>
      <c r="K9" s="73"/>
    </row>
    <row r="10" spans="1:11" s="3" customFormat="1" ht="12" customHeight="1">
      <c r="A10" s="135"/>
      <c r="B10" s="137"/>
      <c r="C10" s="135"/>
      <c r="D10" s="141"/>
      <c r="E10" s="142"/>
      <c r="F10" s="142"/>
      <c r="G10" s="143"/>
      <c r="H10" s="141"/>
      <c r="I10" s="135"/>
      <c r="J10" s="135"/>
      <c r="K10" s="9"/>
    </row>
    <row r="11" spans="1:11" s="75" customFormat="1" ht="15">
      <c r="A11" s="127"/>
      <c r="B11" s="127"/>
      <c r="C11" s="127"/>
      <c r="D11" s="127"/>
      <c r="E11" s="127"/>
      <c r="F11" s="127"/>
      <c r="G11" s="127"/>
      <c r="H11" s="127"/>
      <c r="I11" s="127"/>
      <c r="J11" s="128"/>
    </row>
    <row r="12" spans="1:11" s="4" customFormat="1" ht="13.2">
      <c r="A12" s="129" t="s">
        <v>154</v>
      </c>
      <c r="B12" s="130"/>
      <c r="C12" s="130"/>
      <c r="D12" s="130"/>
      <c r="E12" s="130"/>
      <c r="F12" s="130"/>
      <c r="G12" s="130"/>
      <c r="H12" s="130"/>
      <c r="I12" s="130"/>
      <c r="J12" s="131"/>
    </row>
    <row r="13" spans="1:11" s="4" customFormat="1" ht="79.2" outlineLevel="1">
      <c r="A13" s="79" t="s">
        <v>13</v>
      </c>
      <c r="B13" s="88" t="s">
        <v>59</v>
      </c>
      <c r="C13" s="78" t="s">
        <v>155</v>
      </c>
      <c r="D13" s="132" t="s">
        <v>90</v>
      </c>
      <c r="E13" s="126"/>
      <c r="F13" s="126"/>
      <c r="G13" s="77"/>
      <c r="H13" s="103"/>
      <c r="I13" s="78" t="s">
        <v>56</v>
      </c>
      <c r="J13" s="76"/>
    </row>
    <row r="14" spans="1:11" s="4" customFormat="1" ht="13.2" outlineLevel="1">
      <c r="A14" s="162" t="s">
        <v>91</v>
      </c>
      <c r="B14" s="163"/>
      <c r="C14" s="163"/>
      <c r="D14" s="97"/>
      <c r="E14" s="97"/>
      <c r="F14" s="97"/>
      <c r="G14" s="97"/>
      <c r="H14" s="97"/>
      <c r="I14" s="97"/>
      <c r="J14" s="98"/>
    </row>
    <row r="15" spans="1:11" s="4" customFormat="1" ht="63.75" customHeight="1" outlineLevel="1">
      <c r="A15" s="79" t="s">
        <v>14</v>
      </c>
      <c r="B15" s="95" t="s">
        <v>60</v>
      </c>
      <c r="C15" s="96" t="s">
        <v>156</v>
      </c>
      <c r="D15" s="161" t="s">
        <v>12</v>
      </c>
      <c r="E15" s="126"/>
      <c r="F15" s="126"/>
      <c r="G15" s="77"/>
      <c r="H15" s="90"/>
      <c r="I15" s="78" t="s">
        <v>56</v>
      </c>
      <c r="J15" s="76"/>
    </row>
    <row r="16" spans="1:11" s="4" customFormat="1" ht="63.75" customHeight="1" outlineLevel="1">
      <c r="A16" s="79" t="s">
        <v>15</v>
      </c>
      <c r="B16" s="95" t="s">
        <v>60</v>
      </c>
      <c r="C16" s="96" t="s">
        <v>157</v>
      </c>
      <c r="D16" s="161" t="s">
        <v>11</v>
      </c>
      <c r="E16" s="126"/>
      <c r="F16" s="126"/>
      <c r="G16" s="77"/>
      <c r="H16" s="103"/>
      <c r="I16" s="78" t="s">
        <v>56</v>
      </c>
      <c r="J16" s="76"/>
    </row>
    <row r="17" spans="1:14" s="4" customFormat="1" ht="79.2" outlineLevel="1">
      <c r="A17" s="79" t="s">
        <v>16</v>
      </c>
      <c r="B17" s="95" t="s">
        <v>61</v>
      </c>
      <c r="C17" s="96" t="s">
        <v>158</v>
      </c>
      <c r="D17" s="132" t="s">
        <v>62</v>
      </c>
      <c r="E17" s="126"/>
      <c r="F17" s="126"/>
      <c r="G17" s="77"/>
      <c r="H17" s="85"/>
      <c r="I17" s="78"/>
      <c r="J17" s="76"/>
    </row>
    <row r="18" spans="1:14" s="4" customFormat="1" ht="79.2" outlineLevel="1">
      <c r="A18" s="79" t="s">
        <v>17</v>
      </c>
      <c r="B18" s="95" t="s">
        <v>61</v>
      </c>
      <c r="C18" s="96" t="s">
        <v>159</v>
      </c>
      <c r="D18" s="161" t="s">
        <v>63</v>
      </c>
      <c r="E18" s="126"/>
      <c r="F18" s="126"/>
      <c r="G18" s="77"/>
      <c r="H18" s="90"/>
      <c r="I18" s="78"/>
      <c r="J18" s="76"/>
    </row>
    <row r="19" spans="1:14" s="4" customFormat="1" ht="13.2" outlineLevel="1">
      <c r="A19" s="162" t="s">
        <v>92</v>
      </c>
      <c r="B19" s="163"/>
      <c r="C19" s="163"/>
      <c r="D19" s="97"/>
      <c r="E19" s="97"/>
      <c r="F19" s="97"/>
      <c r="G19" s="97"/>
      <c r="H19" s="97"/>
      <c r="I19" s="97"/>
      <c r="J19" s="98"/>
    </row>
    <row r="20" spans="1:14" s="4" customFormat="1" ht="63.75" customHeight="1" outlineLevel="1">
      <c r="A20" s="79" t="s">
        <v>18</v>
      </c>
      <c r="B20" s="95" t="s">
        <v>60</v>
      </c>
      <c r="C20" s="96" t="s">
        <v>160</v>
      </c>
      <c r="D20" s="161" t="s">
        <v>11</v>
      </c>
      <c r="E20" s="126"/>
      <c r="F20" s="126"/>
      <c r="G20" s="77"/>
      <c r="H20" s="90"/>
      <c r="I20" s="78" t="s">
        <v>56</v>
      </c>
      <c r="J20" s="76"/>
    </row>
    <row r="21" spans="1:14" s="4" customFormat="1" ht="63.75" customHeight="1" outlineLevel="1">
      <c r="A21" s="79" t="s">
        <v>19</v>
      </c>
      <c r="B21" s="95" t="s">
        <v>60</v>
      </c>
      <c r="C21" s="96" t="s">
        <v>161</v>
      </c>
      <c r="D21" s="161" t="s">
        <v>11</v>
      </c>
      <c r="E21" s="126"/>
      <c r="F21" s="126"/>
      <c r="G21" s="77"/>
      <c r="H21" s="103"/>
      <c r="I21" s="78" t="s">
        <v>56</v>
      </c>
      <c r="J21" s="76"/>
    </row>
    <row r="22" spans="1:14" s="4" customFormat="1" ht="79.2" outlineLevel="1">
      <c r="A22" s="79" t="s">
        <v>66</v>
      </c>
      <c r="B22" s="95" t="s">
        <v>61</v>
      </c>
      <c r="C22" s="96" t="s">
        <v>162</v>
      </c>
      <c r="D22" s="161" t="s">
        <v>97</v>
      </c>
      <c r="E22" s="126"/>
      <c r="F22" s="126"/>
      <c r="G22" s="77"/>
      <c r="H22" s="85"/>
      <c r="I22" s="78"/>
      <c r="J22" s="76"/>
    </row>
    <row r="23" spans="1:14" s="4" customFormat="1" ht="79.2" outlineLevel="1">
      <c r="A23" s="79" t="s">
        <v>75</v>
      </c>
      <c r="B23" s="95" t="s">
        <v>61</v>
      </c>
      <c r="C23" s="96" t="s">
        <v>163</v>
      </c>
      <c r="D23" s="161" t="s">
        <v>98</v>
      </c>
      <c r="E23" s="126"/>
      <c r="F23" s="126"/>
      <c r="G23" s="77"/>
      <c r="H23" s="90"/>
      <c r="I23" s="78"/>
      <c r="J23" s="76"/>
    </row>
    <row r="24" spans="1:14" s="4" customFormat="1" ht="13.2">
      <c r="A24" s="129" t="s">
        <v>136</v>
      </c>
      <c r="B24" s="130"/>
      <c r="C24" s="130"/>
      <c r="D24" s="130"/>
      <c r="E24" s="130"/>
      <c r="F24" s="130"/>
      <c r="G24" s="130"/>
      <c r="H24" s="130"/>
      <c r="I24" s="130"/>
      <c r="J24" s="131"/>
    </row>
    <row r="25" spans="1:14" s="84" customFormat="1" ht="228.75" customHeight="1" outlineLevel="1">
      <c r="A25" s="79" t="s">
        <v>76</v>
      </c>
      <c r="B25" s="89" t="s">
        <v>64</v>
      </c>
      <c r="C25" s="83" t="s">
        <v>164</v>
      </c>
      <c r="D25" s="132" t="s">
        <v>89</v>
      </c>
      <c r="E25" s="126"/>
      <c r="F25" s="126"/>
      <c r="I25" s="104" t="s">
        <v>56</v>
      </c>
      <c r="J25" s="85"/>
    </row>
    <row r="26" spans="1:14" s="84" customFormat="1" ht="207.75" customHeight="1" outlineLevel="1">
      <c r="A26" s="79" t="s">
        <v>77</v>
      </c>
      <c r="B26" s="89" t="s">
        <v>102</v>
      </c>
      <c r="C26" s="83" t="s">
        <v>165</v>
      </c>
      <c r="D26" s="132" t="s">
        <v>101</v>
      </c>
      <c r="E26" s="126"/>
      <c r="F26" s="126"/>
      <c r="H26" s="102"/>
      <c r="I26" s="104" t="s">
        <v>56</v>
      </c>
      <c r="J26" s="85"/>
    </row>
    <row r="27" spans="1:14" s="84" customFormat="1" ht="255" customHeight="1" outlineLevel="1">
      <c r="A27" s="79" t="s">
        <v>78</v>
      </c>
      <c r="B27" s="89" t="s">
        <v>99</v>
      </c>
      <c r="C27" s="83" t="s">
        <v>166</v>
      </c>
      <c r="D27" s="132" t="s">
        <v>100</v>
      </c>
      <c r="E27" s="126"/>
      <c r="F27" s="126"/>
      <c r="H27" s="102"/>
      <c r="I27" s="100"/>
      <c r="J27" s="101"/>
      <c r="K27" s="99"/>
      <c r="L27" s="99"/>
      <c r="M27" s="99"/>
      <c r="N27" s="99"/>
    </row>
    <row r="28" spans="1:14" s="84" customFormat="1" ht="276.75" customHeight="1" outlineLevel="1">
      <c r="A28" s="79" t="s">
        <v>79</v>
      </c>
      <c r="B28" s="89" t="s">
        <v>65</v>
      </c>
      <c r="C28" s="83" t="s">
        <v>167</v>
      </c>
      <c r="D28" s="132" t="s">
        <v>9</v>
      </c>
      <c r="E28" s="126"/>
      <c r="F28" s="126"/>
      <c r="H28" s="91"/>
      <c r="I28" s="93"/>
      <c r="J28" s="85"/>
    </row>
    <row r="29" spans="1:14" s="4" customFormat="1" ht="13.2" collapsed="1">
      <c r="A29" s="129" t="s">
        <v>67</v>
      </c>
      <c r="B29" s="130"/>
      <c r="C29" s="130"/>
      <c r="D29" s="130"/>
      <c r="E29" s="130"/>
      <c r="F29" s="130"/>
      <c r="G29" s="130"/>
      <c r="H29" s="130"/>
      <c r="I29" s="130"/>
      <c r="J29" s="131"/>
    </row>
    <row r="30" spans="1:14" s="4" customFormat="1" ht="13.2" hidden="1" outlineLevel="1">
      <c r="A30" s="129" t="s">
        <v>137</v>
      </c>
      <c r="B30" s="130"/>
      <c r="C30" s="130"/>
      <c r="D30" s="130"/>
      <c r="E30" s="130"/>
      <c r="F30" s="130"/>
      <c r="G30" s="130"/>
      <c r="H30" s="130"/>
      <c r="I30" s="130"/>
      <c r="J30" s="131"/>
    </row>
    <row r="31" spans="1:14" s="84" customFormat="1" ht="70.5" hidden="1" customHeight="1" outlineLevel="1">
      <c r="A31" s="79" t="s">
        <v>80</v>
      </c>
      <c r="B31" s="89" t="s">
        <v>82</v>
      </c>
      <c r="C31" s="83" t="s">
        <v>168</v>
      </c>
      <c r="D31" s="132" t="s">
        <v>68</v>
      </c>
      <c r="E31" s="126"/>
      <c r="F31" s="126"/>
      <c r="H31" s="91"/>
      <c r="I31" s="93" t="s">
        <v>56</v>
      </c>
      <c r="J31" s="85"/>
    </row>
    <row r="32" spans="1:14" s="84" customFormat="1" ht="87.75" hidden="1" customHeight="1" outlineLevel="1">
      <c r="A32" s="79" t="s">
        <v>81</v>
      </c>
      <c r="B32" s="89" t="s">
        <v>83</v>
      </c>
      <c r="C32" s="83" t="s">
        <v>168</v>
      </c>
      <c r="D32" s="132" t="s">
        <v>69</v>
      </c>
      <c r="E32" s="126"/>
      <c r="F32" s="126"/>
      <c r="H32" s="91"/>
      <c r="I32" s="93" t="s">
        <v>56</v>
      </c>
      <c r="J32" s="85"/>
    </row>
    <row r="33" spans="1:10" s="84" customFormat="1" ht="87.75" hidden="1" customHeight="1" outlineLevel="1">
      <c r="A33" s="79" t="s">
        <v>0</v>
      </c>
      <c r="B33" s="89" t="s">
        <v>84</v>
      </c>
      <c r="C33" s="83" t="s">
        <v>168</v>
      </c>
      <c r="D33" s="132" t="s">
        <v>70</v>
      </c>
      <c r="E33" s="126"/>
      <c r="F33" s="126"/>
      <c r="H33" s="91"/>
      <c r="I33" s="93" t="s">
        <v>56</v>
      </c>
      <c r="J33" s="85"/>
    </row>
    <row r="34" spans="1:10" s="84" customFormat="1" ht="59.25" hidden="1" customHeight="1" outlineLevel="1">
      <c r="A34" s="79" t="s">
        <v>7</v>
      </c>
      <c r="B34" s="89" t="s">
        <v>85</v>
      </c>
      <c r="C34" s="83" t="s">
        <v>168</v>
      </c>
      <c r="D34" s="132" t="s">
        <v>71</v>
      </c>
      <c r="E34" s="126"/>
      <c r="F34" s="126"/>
      <c r="H34" s="91"/>
      <c r="I34" s="93" t="s">
        <v>56</v>
      </c>
      <c r="J34" s="85"/>
    </row>
    <row r="35" spans="1:10" s="84" customFormat="1" ht="56.25" hidden="1" customHeight="1" outlineLevel="1">
      <c r="A35" s="79" t="s">
        <v>8</v>
      </c>
      <c r="B35" s="89" t="s">
        <v>86</v>
      </c>
      <c r="C35" s="83" t="s">
        <v>168</v>
      </c>
      <c r="D35" s="132" t="s">
        <v>72</v>
      </c>
      <c r="E35" s="126"/>
      <c r="F35" s="126"/>
      <c r="H35" s="91"/>
      <c r="I35" s="93" t="s">
        <v>56</v>
      </c>
      <c r="J35" s="85"/>
    </row>
    <row r="36" spans="1:10" s="84" customFormat="1" ht="87.75" hidden="1" customHeight="1" outlineLevel="1">
      <c r="A36" s="79" t="s">
        <v>93</v>
      </c>
      <c r="B36" s="89" t="s">
        <v>88</v>
      </c>
      <c r="C36" s="83" t="s">
        <v>168</v>
      </c>
      <c r="D36" s="132" t="s">
        <v>74</v>
      </c>
      <c r="E36" s="126"/>
      <c r="F36" s="126"/>
      <c r="H36" s="91"/>
      <c r="I36" s="93" t="s">
        <v>56</v>
      </c>
      <c r="J36" s="85"/>
    </row>
    <row r="37" spans="1:10" s="84" customFormat="1" ht="62.25" hidden="1" customHeight="1" outlineLevel="1">
      <c r="A37" s="79" t="s">
        <v>94</v>
      </c>
      <c r="B37" s="89" t="s">
        <v>87</v>
      </c>
      <c r="C37" s="83" t="s">
        <v>168</v>
      </c>
      <c r="D37" s="132" t="s">
        <v>73</v>
      </c>
      <c r="E37" s="126"/>
      <c r="F37" s="126"/>
      <c r="H37" s="91"/>
      <c r="I37" s="93" t="s">
        <v>56</v>
      </c>
      <c r="J37" s="85"/>
    </row>
    <row r="38" spans="1:10" s="4" customFormat="1" ht="13.2" hidden="1" outlineLevel="1">
      <c r="A38" s="129" t="s">
        <v>128</v>
      </c>
      <c r="B38" s="130"/>
      <c r="C38" s="130"/>
      <c r="D38" s="130"/>
      <c r="E38" s="130"/>
      <c r="F38" s="130"/>
      <c r="G38" s="130"/>
      <c r="H38" s="130"/>
      <c r="I38" s="130"/>
      <c r="J38" s="131"/>
    </row>
    <row r="39" spans="1:10" s="84" customFormat="1" ht="87.75" hidden="1" customHeight="1" outlineLevel="1">
      <c r="A39" s="79" t="s">
        <v>95</v>
      </c>
      <c r="B39" s="89" t="s">
        <v>103</v>
      </c>
      <c r="C39" s="83" t="s">
        <v>169</v>
      </c>
      <c r="D39" s="132" t="s">
        <v>104</v>
      </c>
      <c r="E39" s="126"/>
      <c r="F39" s="126"/>
      <c r="H39" s="91"/>
      <c r="I39" s="93" t="s">
        <v>56</v>
      </c>
      <c r="J39" s="85"/>
    </row>
    <row r="40" spans="1:10" s="4" customFormat="1" ht="13.2" collapsed="1">
      <c r="A40" s="129" t="s">
        <v>129</v>
      </c>
      <c r="B40" s="130"/>
      <c r="C40" s="130"/>
      <c r="D40" s="130"/>
      <c r="E40" s="130"/>
      <c r="F40" s="130"/>
      <c r="G40" s="130"/>
      <c r="H40" s="130"/>
      <c r="I40" s="130"/>
      <c r="J40" s="131"/>
    </row>
    <row r="41" spans="1:10" s="84" customFormat="1" ht="101.25" hidden="1" customHeight="1" outlineLevel="1">
      <c r="A41" s="79" t="s">
        <v>96</v>
      </c>
      <c r="B41" s="89" t="s">
        <v>110</v>
      </c>
      <c r="C41" s="83" t="s">
        <v>170</v>
      </c>
      <c r="D41" s="132" t="s">
        <v>108</v>
      </c>
      <c r="E41" s="126"/>
      <c r="F41" s="126"/>
      <c r="H41" s="91" t="s">
        <v>138</v>
      </c>
      <c r="I41" s="106" t="s">
        <v>20</v>
      </c>
      <c r="J41" s="85" t="s">
        <v>140</v>
      </c>
    </row>
    <row r="42" spans="1:10" s="84" customFormat="1" ht="96" hidden="1" customHeight="1" outlineLevel="1">
      <c r="A42" s="79" t="s">
        <v>117</v>
      </c>
      <c r="B42" s="89" t="s">
        <v>111</v>
      </c>
      <c r="C42" s="83" t="s">
        <v>171</v>
      </c>
      <c r="D42" s="132" t="s">
        <v>109</v>
      </c>
      <c r="E42" s="126"/>
      <c r="F42" s="126"/>
      <c r="H42" s="91" t="s">
        <v>138</v>
      </c>
      <c r="I42" s="93" t="s">
        <v>56</v>
      </c>
      <c r="J42" s="85" t="s">
        <v>141</v>
      </c>
    </row>
    <row r="43" spans="1:10" s="84" customFormat="1" ht="96" hidden="1" customHeight="1" outlineLevel="1">
      <c r="A43" s="79" t="s">
        <v>118</v>
      </c>
      <c r="B43" s="89" t="s">
        <v>148</v>
      </c>
      <c r="C43" s="83" t="s">
        <v>172</v>
      </c>
      <c r="D43" s="132" t="s">
        <v>149</v>
      </c>
      <c r="E43" s="126"/>
      <c r="F43" s="126"/>
      <c r="H43" s="91" t="s">
        <v>138</v>
      </c>
      <c r="I43" s="93" t="s">
        <v>56</v>
      </c>
      <c r="J43" s="85" t="s">
        <v>141</v>
      </c>
    </row>
    <row r="44" spans="1:10" s="4" customFormat="1" ht="13.2" collapsed="1">
      <c r="A44" s="129" t="s">
        <v>130</v>
      </c>
      <c r="B44" s="130"/>
      <c r="C44" s="130"/>
      <c r="D44" s="130"/>
      <c r="E44" s="130"/>
      <c r="F44" s="130"/>
      <c r="G44" s="130"/>
      <c r="H44" s="130"/>
      <c r="I44" s="130"/>
      <c r="J44" s="131"/>
    </row>
    <row r="45" spans="1:10" s="84" customFormat="1" ht="27.75" hidden="1" customHeight="1" outlineLevel="1">
      <c r="A45" s="158" t="s">
        <v>1</v>
      </c>
      <c r="B45" s="159"/>
      <c r="C45" s="160"/>
      <c r="D45" s="132"/>
      <c r="E45" s="126"/>
      <c r="F45" s="126"/>
      <c r="H45" s="91"/>
      <c r="I45" s="93"/>
      <c r="J45" s="85"/>
    </row>
    <row r="46" spans="1:10" s="84" customFormat="1" ht="27.75" hidden="1" customHeight="1" outlineLevel="1">
      <c r="A46" s="79" t="s">
        <v>119</v>
      </c>
      <c r="B46" s="89" t="s">
        <v>3</v>
      </c>
      <c r="C46" s="83" t="s">
        <v>2</v>
      </c>
      <c r="D46" s="132" t="s">
        <v>6</v>
      </c>
      <c r="E46" s="126"/>
      <c r="F46" s="126"/>
      <c r="H46" s="91"/>
      <c r="I46" s="93" t="s">
        <v>56</v>
      </c>
      <c r="J46" s="85"/>
    </row>
    <row r="47" spans="1:10" s="84" customFormat="1" ht="81" hidden="1" customHeight="1" outlineLevel="1">
      <c r="A47" s="79" t="s">
        <v>120</v>
      </c>
      <c r="B47" s="89" t="s">
        <v>4</v>
      </c>
      <c r="C47" s="83" t="s">
        <v>5</v>
      </c>
      <c r="D47" s="157" t="s">
        <v>10</v>
      </c>
      <c r="E47" s="126"/>
      <c r="F47" s="126"/>
      <c r="H47" s="91"/>
      <c r="I47" s="93" t="s">
        <v>56</v>
      </c>
      <c r="J47" s="85"/>
    </row>
    <row r="48" spans="1:10" s="4" customFormat="1" ht="13.2">
      <c r="A48" s="129" t="s">
        <v>131</v>
      </c>
      <c r="B48" s="130"/>
      <c r="C48" s="130"/>
      <c r="D48" s="130"/>
      <c r="E48" s="130"/>
      <c r="F48" s="130"/>
      <c r="G48" s="130"/>
      <c r="H48" s="130"/>
      <c r="I48" s="130"/>
      <c r="J48" s="131"/>
    </row>
    <row r="49" spans="1:10" s="4" customFormat="1" ht="13.2" outlineLevel="1">
      <c r="A49" s="129" t="s">
        <v>132</v>
      </c>
      <c r="B49" s="130"/>
      <c r="C49" s="130"/>
      <c r="D49" s="130"/>
      <c r="E49" s="130"/>
      <c r="F49" s="130"/>
      <c r="G49" s="130"/>
      <c r="H49" s="130"/>
      <c r="I49" s="130"/>
      <c r="J49" s="131"/>
    </row>
    <row r="50" spans="1:10" s="84" customFormat="1" ht="87.75" customHeight="1" outlineLevel="1">
      <c r="A50" s="79" t="s">
        <v>121</v>
      </c>
      <c r="B50" s="89" t="s">
        <v>105</v>
      </c>
      <c r="C50" s="83" t="s">
        <v>173</v>
      </c>
      <c r="D50" s="132" t="s">
        <v>106</v>
      </c>
      <c r="E50" s="126"/>
      <c r="F50" s="126"/>
      <c r="H50" s="91"/>
      <c r="I50" s="93" t="s">
        <v>56</v>
      </c>
      <c r="J50" s="85"/>
    </row>
    <row r="51" spans="1:10" s="84" customFormat="1" ht="87.75" customHeight="1" outlineLevel="1">
      <c r="A51" s="79" t="s">
        <v>122</v>
      </c>
      <c r="B51" s="89" t="s">
        <v>107</v>
      </c>
      <c r="C51" s="83" t="s">
        <v>174</v>
      </c>
      <c r="D51" s="132" t="s">
        <v>112</v>
      </c>
      <c r="E51" s="126"/>
      <c r="F51" s="126"/>
      <c r="H51" s="91"/>
      <c r="I51" s="93" t="s">
        <v>56</v>
      </c>
      <c r="J51" s="85"/>
    </row>
    <row r="52" spans="1:10" s="4" customFormat="1" ht="13.2" outlineLevel="1">
      <c r="A52" s="129" t="s">
        <v>133</v>
      </c>
      <c r="B52" s="130"/>
      <c r="C52" s="130"/>
      <c r="D52" s="130"/>
      <c r="E52" s="130"/>
      <c r="F52" s="130"/>
      <c r="G52" s="130"/>
      <c r="H52" s="130"/>
      <c r="I52" s="130"/>
      <c r="J52" s="131"/>
    </row>
    <row r="53" spans="1:10" s="84" customFormat="1" ht="87.75" customHeight="1" outlineLevel="1">
      <c r="A53" s="79" t="s">
        <v>123</v>
      </c>
      <c r="B53" s="89" t="s">
        <v>105</v>
      </c>
      <c r="C53" s="83" t="s">
        <v>175</v>
      </c>
      <c r="D53" s="132" t="s">
        <v>113</v>
      </c>
      <c r="E53" s="126"/>
      <c r="F53" s="126"/>
      <c r="H53" s="91"/>
      <c r="I53" s="93"/>
      <c r="J53" s="85"/>
    </row>
    <row r="54" spans="1:10" s="84" customFormat="1" ht="87.75" customHeight="1" outlineLevel="1">
      <c r="A54" s="79" t="s">
        <v>124</v>
      </c>
      <c r="B54" s="89" t="s">
        <v>107</v>
      </c>
      <c r="C54" s="83" t="s">
        <v>176</v>
      </c>
      <c r="D54" s="132" t="s">
        <v>114</v>
      </c>
      <c r="E54" s="126"/>
      <c r="F54" s="126"/>
      <c r="H54" s="91"/>
      <c r="I54" s="93"/>
      <c r="J54" s="85"/>
    </row>
    <row r="55" spans="1:10" s="4" customFormat="1" ht="13.2" outlineLevel="1">
      <c r="A55" s="129" t="s">
        <v>134</v>
      </c>
      <c r="B55" s="130"/>
      <c r="C55" s="130"/>
      <c r="D55" s="130"/>
      <c r="E55" s="130"/>
      <c r="F55" s="130"/>
      <c r="G55" s="130"/>
      <c r="H55" s="130"/>
      <c r="I55" s="130"/>
      <c r="J55" s="131"/>
    </row>
    <row r="56" spans="1:10" s="84" customFormat="1" ht="87.75" customHeight="1" outlineLevel="1">
      <c r="A56" s="79" t="s">
        <v>125</v>
      </c>
      <c r="B56" s="89" t="s">
        <v>105</v>
      </c>
      <c r="C56" s="83" t="s">
        <v>177</v>
      </c>
      <c r="D56" s="132" t="s">
        <v>139</v>
      </c>
      <c r="E56" s="126"/>
      <c r="F56" s="126"/>
      <c r="H56" s="91"/>
      <c r="I56" s="93" t="s">
        <v>56</v>
      </c>
      <c r="J56" s="85"/>
    </row>
    <row r="57" spans="1:10" s="84" customFormat="1" ht="87.75" customHeight="1" outlineLevel="1">
      <c r="A57" s="79" t="s">
        <v>126</v>
      </c>
      <c r="B57" s="89" t="s">
        <v>107</v>
      </c>
      <c r="C57" s="83" t="s">
        <v>178</v>
      </c>
      <c r="D57" s="132" t="s">
        <v>112</v>
      </c>
      <c r="E57" s="126"/>
      <c r="F57" s="126"/>
      <c r="H57" s="91"/>
      <c r="I57" s="93" t="s">
        <v>56</v>
      </c>
      <c r="J57" s="85"/>
    </row>
    <row r="58" spans="1:10" s="4" customFormat="1" ht="13.2" outlineLevel="1">
      <c r="A58" s="129" t="s">
        <v>135</v>
      </c>
      <c r="B58" s="130"/>
      <c r="C58" s="130"/>
      <c r="D58" s="130"/>
      <c r="E58" s="130"/>
      <c r="F58" s="130"/>
      <c r="G58" s="130"/>
      <c r="H58" s="130"/>
      <c r="I58" s="130"/>
      <c r="J58" s="131"/>
    </row>
    <row r="59" spans="1:10" s="84" customFormat="1" ht="87.75" customHeight="1" outlineLevel="1">
      <c r="A59" s="79" t="s">
        <v>127</v>
      </c>
      <c r="B59" s="89" t="s">
        <v>105</v>
      </c>
      <c r="C59" s="83" t="s">
        <v>179</v>
      </c>
      <c r="D59" s="132" t="s">
        <v>115</v>
      </c>
      <c r="E59" s="126"/>
      <c r="F59" s="126"/>
      <c r="H59" s="91"/>
      <c r="I59" s="93" t="s">
        <v>56</v>
      </c>
      <c r="J59" s="85"/>
    </row>
    <row r="60" spans="1:10" s="84" customFormat="1" ht="87.75" customHeight="1" outlineLevel="1">
      <c r="A60" s="79" t="s">
        <v>146</v>
      </c>
      <c r="B60" s="89" t="s">
        <v>107</v>
      </c>
      <c r="C60" s="83" t="s">
        <v>180</v>
      </c>
      <c r="D60" s="132" t="s">
        <v>116</v>
      </c>
      <c r="E60" s="126"/>
      <c r="F60" s="126"/>
      <c r="H60" s="91"/>
      <c r="I60" s="93" t="s">
        <v>56</v>
      </c>
      <c r="J60" s="85"/>
    </row>
    <row r="61" spans="1:10" s="4" customFormat="1" ht="13.2">
      <c r="A61" s="129" t="s">
        <v>151</v>
      </c>
      <c r="B61" s="130"/>
      <c r="C61" s="130"/>
      <c r="D61" s="130"/>
      <c r="E61" s="130"/>
      <c r="F61" s="130"/>
      <c r="G61" s="130"/>
      <c r="H61" s="130"/>
      <c r="I61" s="130"/>
      <c r="J61" s="131"/>
    </row>
    <row r="62" spans="1:10" s="84" customFormat="1" ht="87.75" customHeight="1" outlineLevel="1">
      <c r="A62" s="79" t="s">
        <v>147</v>
      </c>
      <c r="B62" s="89" t="s">
        <v>142</v>
      </c>
      <c r="C62" s="83" t="s">
        <v>181</v>
      </c>
      <c r="D62" s="132" t="s">
        <v>144</v>
      </c>
      <c r="E62" s="126"/>
      <c r="F62" s="126"/>
      <c r="H62" s="91"/>
      <c r="I62" s="93" t="s">
        <v>56</v>
      </c>
      <c r="J62" s="85"/>
    </row>
    <row r="63" spans="1:10" s="84" customFormat="1" ht="87.75" customHeight="1" outlineLevel="1">
      <c r="A63" s="79" t="s">
        <v>150</v>
      </c>
      <c r="B63" s="89" t="s">
        <v>143</v>
      </c>
      <c r="C63" s="83" t="s">
        <v>182</v>
      </c>
      <c r="D63" s="132" t="s">
        <v>145</v>
      </c>
      <c r="E63" s="126"/>
      <c r="F63" s="126"/>
      <c r="H63" s="91"/>
      <c r="I63" s="93" t="s">
        <v>56</v>
      </c>
      <c r="J63" s="85"/>
    </row>
    <row r="64" spans="1:10"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sheetData>
  <mergeCells count="71">
    <mergeCell ref="D31:F31"/>
    <mergeCell ref="D32:F32"/>
    <mergeCell ref="D33:F33"/>
    <mergeCell ref="A30:J30"/>
    <mergeCell ref="D35:F35"/>
    <mergeCell ref="D34:F34"/>
    <mergeCell ref="D25:F25"/>
    <mergeCell ref="D28:F28"/>
    <mergeCell ref="D27:F27"/>
    <mergeCell ref="D26:F26"/>
    <mergeCell ref="A29:J29"/>
    <mergeCell ref="A19:C19"/>
    <mergeCell ref="D20:F20"/>
    <mergeCell ref="D21:F21"/>
    <mergeCell ref="D22:F22"/>
    <mergeCell ref="A24:J24"/>
    <mergeCell ref="D23:F23"/>
    <mergeCell ref="B1:D2"/>
    <mergeCell ref="A8:D8"/>
    <mergeCell ref="B5:D5"/>
    <mergeCell ref="A12:J12"/>
    <mergeCell ref="H5:J5"/>
    <mergeCell ref="H6:J6"/>
    <mergeCell ref="H7:J7"/>
    <mergeCell ref="B3:D3"/>
    <mergeCell ref="H4:J4"/>
    <mergeCell ref="J9:J10"/>
    <mergeCell ref="H3:J3"/>
    <mergeCell ref="B4:D4"/>
    <mergeCell ref="H9:H10"/>
    <mergeCell ref="A11:J11"/>
    <mergeCell ref="I9:I10"/>
    <mergeCell ref="D18:F18"/>
    <mergeCell ref="A9:A10"/>
    <mergeCell ref="B9:B10"/>
    <mergeCell ref="C9:C10"/>
    <mergeCell ref="D9:G10"/>
    <mergeCell ref="A14:C14"/>
    <mergeCell ref="D15:F15"/>
    <mergeCell ref="D17:F17"/>
    <mergeCell ref="D13:F13"/>
    <mergeCell ref="D16:F16"/>
    <mergeCell ref="D37:F37"/>
    <mergeCell ref="D36:F36"/>
    <mergeCell ref="A44:J44"/>
    <mergeCell ref="D39:F39"/>
    <mergeCell ref="A55:J55"/>
    <mergeCell ref="A48:J48"/>
    <mergeCell ref="D46:F46"/>
    <mergeCell ref="D47:F47"/>
    <mergeCell ref="A45:C45"/>
    <mergeCell ref="D45:F45"/>
    <mergeCell ref="A38:J38"/>
    <mergeCell ref="A40:J40"/>
    <mergeCell ref="D41:F41"/>
    <mergeCell ref="D43:F43"/>
    <mergeCell ref="A61:J61"/>
    <mergeCell ref="D62:F62"/>
    <mergeCell ref="D63:F63"/>
    <mergeCell ref="D42:F42"/>
    <mergeCell ref="D57:F57"/>
    <mergeCell ref="A58:J58"/>
    <mergeCell ref="D59:F59"/>
    <mergeCell ref="D60:F60"/>
    <mergeCell ref="D53:F53"/>
    <mergeCell ref="D54:F54"/>
    <mergeCell ref="D56:F56"/>
    <mergeCell ref="D50:F50"/>
    <mergeCell ref="D51:F51"/>
    <mergeCell ref="A49:J49"/>
    <mergeCell ref="A52:J52"/>
  </mergeCells>
  <phoneticPr fontId="17" type="noConversion"/>
  <pageMargins left="0.75" right="0.75" top="1" bottom="1" header="0.5" footer="0.5"/>
  <pageSetup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tabSelected="1" zoomScale="145" zoomScaleNormal="145" workbookViewId="0">
      <selection activeCell="C6" sqref="C6"/>
    </sheetView>
  </sheetViews>
  <sheetFormatPr defaultRowHeight="13.2"/>
  <cols>
    <col min="3" max="3" width="47.21875" customWidth="1"/>
    <col min="7" max="7" width="18.88671875" customWidth="1"/>
  </cols>
  <sheetData>
    <row r="1" spans="1:7" ht="22.2">
      <c r="A1" s="15" t="s">
        <v>28</v>
      </c>
      <c r="B1" s="16"/>
      <c r="C1" s="17"/>
      <c r="D1" s="17"/>
      <c r="E1" s="17"/>
      <c r="F1" s="17"/>
      <c r="G1" s="18"/>
    </row>
    <row r="2" spans="1:7" ht="14.25" customHeight="1">
      <c r="A2" s="15"/>
      <c r="B2" s="16"/>
      <c r="C2" s="17"/>
      <c r="D2" s="17"/>
      <c r="E2" s="17"/>
      <c r="F2" s="17"/>
      <c r="G2" s="18"/>
    </row>
    <row r="3" spans="1:7" ht="13.8">
      <c r="B3" s="19" t="s">
        <v>27</v>
      </c>
      <c r="C3" s="17" t="s">
        <v>345</v>
      </c>
      <c r="D3" s="17"/>
      <c r="E3" s="17"/>
      <c r="F3" s="17"/>
      <c r="G3" s="18"/>
    </row>
    <row r="4" spans="1:7" ht="13.8">
      <c r="B4" s="19" t="s">
        <v>21</v>
      </c>
      <c r="C4" s="107" t="s">
        <v>346</v>
      </c>
      <c r="D4" s="19"/>
      <c r="E4" s="19"/>
      <c r="F4" s="19"/>
      <c r="G4" s="19"/>
    </row>
    <row r="5" spans="1:7" ht="13.8">
      <c r="A5" s="19"/>
      <c r="B5" s="19"/>
      <c r="C5" s="19"/>
      <c r="D5" s="19"/>
      <c r="E5" s="19"/>
      <c r="F5" s="19"/>
      <c r="G5" s="19"/>
    </row>
    <row r="6" spans="1:7" ht="13.8">
      <c r="A6" s="19"/>
      <c r="B6" s="19"/>
      <c r="C6" s="19"/>
      <c r="D6" s="19"/>
      <c r="E6" s="19"/>
      <c r="F6" s="19"/>
      <c r="G6" s="19"/>
    </row>
    <row r="7" spans="1:7" ht="26.4">
      <c r="A7" s="19"/>
      <c r="B7" s="50" t="s">
        <v>35</v>
      </c>
      <c r="C7" s="51" t="s">
        <v>36</v>
      </c>
      <c r="D7" s="52" t="s">
        <v>56</v>
      </c>
      <c r="E7" s="51" t="s">
        <v>20</v>
      </c>
      <c r="F7" s="51" t="s">
        <v>57</v>
      </c>
      <c r="G7" s="53" t="s">
        <v>37</v>
      </c>
    </row>
    <row r="8" spans="1:7" s="61" customFormat="1" ht="28.8" customHeight="1">
      <c r="A8" s="65"/>
      <c r="B8" s="66">
        <v>1</v>
      </c>
      <c r="C8" s="67" t="str">
        <f>'1. Đăng ký'!B4</f>
        <v>REGx1 - Đăng ký tài khoản</v>
      </c>
      <c r="D8" s="67">
        <f>'1. Đăng ký'!B6</f>
        <v>3</v>
      </c>
      <c r="E8" s="67">
        <f>'1. Đăng ký'!B7</f>
        <v>0</v>
      </c>
      <c r="F8" s="67">
        <f>'1. Đăng ký'!D6</f>
        <v>0</v>
      </c>
      <c r="G8" s="68">
        <f>'1. Đăng ký'!D7</f>
        <v>3</v>
      </c>
    </row>
    <row r="9" spans="1:7" ht="13.8">
      <c r="A9" s="19"/>
      <c r="B9" s="30">
        <v>2</v>
      </c>
      <c r="C9" s="67" t="str">
        <f>'2. Đăng nhập'!B4</f>
        <v>LOGx1 - Đăng nhập tài khoản</v>
      </c>
      <c r="D9" s="67">
        <f>'2. Đăng nhập'!B6</f>
        <v>2</v>
      </c>
      <c r="E9" s="67">
        <f>'2. Đăng nhập'!B7</f>
        <v>1</v>
      </c>
      <c r="F9" s="67">
        <f>'2. Đăng nhập'!D6</f>
        <v>0</v>
      </c>
      <c r="G9" s="165">
        <f>'2. Đăng nhập'!D7</f>
        <v>3</v>
      </c>
    </row>
    <row r="10" spans="1:7" ht="13.8">
      <c r="A10" s="19"/>
      <c r="B10" s="30">
        <v>3</v>
      </c>
      <c r="C10" t="str">
        <f>'3. Chỉnh sửa tài khoản'!B4</f>
        <v>EDTx1 - Chỉnh sửa tài khoản</v>
      </c>
      <c r="D10">
        <f>'3. Chỉnh sửa tài khoản'!B6</f>
        <v>3</v>
      </c>
      <c r="E10">
        <f>'3. Chỉnh sửa tài khoản'!B7</f>
        <v>0</v>
      </c>
      <c r="F10">
        <f>'3. Chỉnh sửa tài khoản'!D6</f>
        <v>0</v>
      </c>
      <c r="G10" s="166">
        <f>'3. Chỉnh sửa tài khoản'!D7</f>
        <v>3</v>
      </c>
    </row>
    <row r="11" spans="1:7" ht="13.8">
      <c r="A11" s="19"/>
      <c r="B11" s="30">
        <v>4</v>
      </c>
      <c r="C11" t="str">
        <f>'4. Thêm sản phầm vào giỏ hàng'!B4</f>
        <v>CRTx1 - Thêm sản phẩm vào giỏ hàng</v>
      </c>
      <c r="D11">
        <f>'4. Thêm sản phầm vào giỏ hàng'!B6</f>
        <v>2</v>
      </c>
      <c r="E11">
        <f>'4. Thêm sản phầm vào giỏ hàng'!B7</f>
        <v>1</v>
      </c>
      <c r="F11">
        <f>'4. Thêm sản phầm vào giỏ hàng'!D6</f>
        <v>0</v>
      </c>
      <c r="G11" s="166">
        <f>'4. Thêm sản phầm vào giỏ hàng'!D7</f>
        <v>3</v>
      </c>
    </row>
    <row r="12" spans="1:7" ht="13.8">
      <c r="A12" s="19"/>
      <c r="B12" s="30">
        <v>5</v>
      </c>
      <c r="C12" t="str">
        <f>'5. Đặt hàng'!B4</f>
        <v>PAYx2 - Đặt hàng qua giỏ hàng</v>
      </c>
      <c r="D12">
        <f>'5. Đặt hàng'!B6</f>
        <v>2</v>
      </c>
      <c r="E12">
        <f>'5. Đặt hàng'!B7</f>
        <v>0</v>
      </c>
      <c r="F12">
        <f>'5. Đặt hàng'!D6</f>
        <v>0</v>
      </c>
      <c r="G12" s="166">
        <f>'5. Đặt hàng'!D7</f>
        <v>2</v>
      </c>
    </row>
    <row r="13" spans="1:7" ht="13.8">
      <c r="A13" s="19"/>
      <c r="B13" s="30">
        <v>6</v>
      </c>
      <c r="C13" t="str">
        <f>'6. Thanh toán'!B4</f>
        <v>Payx1 - Thanh toán bằng các phương thức khác</v>
      </c>
      <c r="D13">
        <f>'6. Thanh toán'!B6</f>
        <v>3</v>
      </c>
      <c r="E13">
        <f>'6. Thanh toán'!B7</f>
        <v>0</v>
      </c>
      <c r="F13">
        <f>'6. Thanh toán'!D6</f>
        <v>0</v>
      </c>
      <c r="G13" s="166">
        <f>'6. Thanh toán'!D7</f>
        <v>3</v>
      </c>
    </row>
    <row r="14" spans="1:7" ht="13.8">
      <c r="B14" s="30">
        <v>7</v>
      </c>
      <c r="C14" t="str">
        <f>'7. Hủy đơn hàng'!B4</f>
        <v>PAYx2 - Hủy đơn hàng</v>
      </c>
      <c r="D14">
        <f>'7. Hủy đơn hàng'!B6</f>
        <v>1</v>
      </c>
      <c r="E14">
        <f>'7. Hủy đơn hàng'!B7</f>
        <v>0</v>
      </c>
      <c r="F14">
        <f>'7. Hủy đơn hàng'!D6</f>
        <v>0</v>
      </c>
      <c r="G14" s="166">
        <f>'7. Hủy đơn hàng'!D7</f>
        <v>1</v>
      </c>
    </row>
    <row r="15" spans="1:7" ht="13.8">
      <c r="B15" s="30">
        <v>8</v>
      </c>
      <c r="C15" t="str">
        <f>'8. Đăng xuất'!B4</f>
        <v>EDTx2 - Đăng xuất</v>
      </c>
      <c r="D15">
        <f>'8. Đăng xuất'!B6</f>
        <v>1</v>
      </c>
      <c r="E15">
        <f>'8. Đăng xuất'!B7</f>
        <v>0</v>
      </c>
      <c r="F15">
        <f>'8. Đăng xuất'!D6</f>
        <v>0</v>
      </c>
      <c r="G15" s="166">
        <f>'8. Đăng xuất'!D7</f>
        <v>1</v>
      </c>
    </row>
    <row r="16" spans="1:7" ht="13.8">
      <c r="B16" s="164">
        <v>9</v>
      </c>
      <c r="C16" t="str">
        <f>'9. Gửi hóa đơn mail'!B4</f>
        <v>Payx3 - Gửi hóa đơn mail</v>
      </c>
      <c r="D16">
        <f>'9. Gửi hóa đơn mail'!B6</f>
        <v>2</v>
      </c>
      <c r="E16">
        <f>'9. Gửi hóa đơn mail'!B7</f>
        <v>0</v>
      </c>
      <c r="F16">
        <f>'9. Gửi hóa đơn mail'!D6</f>
        <v>0</v>
      </c>
      <c r="G16" s="166">
        <f>'9. Gửi hóa đơn mail'!D7</f>
        <v>2</v>
      </c>
    </row>
    <row r="18" spans="2:7" ht="13.8">
      <c r="B18" s="54"/>
      <c r="C18" s="55" t="s">
        <v>38</v>
      </c>
      <c r="D18" s="56">
        <f>SUM(D8:D16)</f>
        <v>19</v>
      </c>
      <c r="E18" s="56">
        <f>SUM(E8:E16)</f>
        <v>2</v>
      </c>
      <c r="F18" s="56">
        <f>SUM(F8:F16)</f>
        <v>0</v>
      </c>
      <c r="G18" s="167">
        <f>SUM(G8:G16)</f>
        <v>21</v>
      </c>
    </row>
    <row r="19" spans="2:7" ht="13.8">
      <c r="B19" s="20"/>
      <c r="C19" s="19"/>
      <c r="D19" s="21"/>
      <c r="E19" s="22"/>
      <c r="F19" s="22"/>
      <c r="G19" s="22"/>
    </row>
    <row r="20" spans="2:7" ht="13.8">
      <c r="B20" s="19"/>
      <c r="C20" s="19" t="s">
        <v>39</v>
      </c>
      <c r="D20" s="19"/>
      <c r="E20" s="23">
        <f>(D18+E18)*100/G18</f>
        <v>100</v>
      </c>
      <c r="F20" s="19" t="s">
        <v>40</v>
      </c>
      <c r="G20" s="24"/>
    </row>
    <row r="21" spans="2:7" ht="13.8">
      <c r="B21" s="19"/>
      <c r="C21" s="19" t="s">
        <v>41</v>
      </c>
      <c r="D21" s="19"/>
      <c r="E21" s="23">
        <f>D18*100/G18</f>
        <v>90.476190476190482</v>
      </c>
      <c r="F21" s="19" t="s">
        <v>40</v>
      </c>
      <c r="G21" s="24"/>
    </row>
  </sheetData>
  <phoneticPr fontId="13"/>
  <pageMargins left="0.75" right="0.75" top="1" bottom="1" header="0.5" footer="0.5"/>
  <pageSetup orientation="landscape" r:id="rId1"/>
  <headerFooter alignWithMargins="0">
    <oddFooter>&amp;L&amp;"Tahoma,Regular"&amp;8 02ae-BM/PM/HDCV/FSOFT v1/0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vt:lpstr>
      <vt:lpstr>1. Đăng ký</vt:lpstr>
      <vt:lpstr>2. Đăng nhập</vt:lpstr>
      <vt:lpstr>3. Chỉnh sửa tài khoản</vt:lpstr>
      <vt:lpstr>4. Thêm sản phầm vào giỏ hàng</vt:lpstr>
      <vt:lpstr>5. Đặt hàng</vt:lpstr>
      <vt:lpstr>6. Thanh toán</vt:lpstr>
      <vt:lpstr>7. Hủy đơn hàng</vt:lpstr>
      <vt:lpstr>8. Đăng xuất</vt:lpstr>
      <vt:lpstr>9. Gửi hóa đơn mail</vt:lpstr>
      <vt:lpstr>Export all carrier choices</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Test Case</dc:subject>
  <dc:creator>Vadim V. Bobrenok</dc:creator>
  <dc:description>v1.2</dc:description>
  <cp:lastModifiedBy>Nam Trần Hải</cp:lastModifiedBy>
  <cp:lastPrinted>2006-08-02T10:15:15Z</cp:lastPrinted>
  <dcterms:created xsi:type="dcterms:W3CDTF">2002-07-27T17:17:25Z</dcterms:created>
  <dcterms:modified xsi:type="dcterms:W3CDTF">2025-06-16T14:51:50Z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iority">
    <vt:lpwstr/>
  </property>
</Properties>
</file>